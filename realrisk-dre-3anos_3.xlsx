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d98f33715b37e1/Documentos/Projetos virtuais/realrisk-mvp/"/>
    </mc:Choice>
  </mc:AlternateContent>
  <xr:revisionPtr revIDLastSave="32" documentId="8_{29825CB1-7111-4F87-B4ED-D2A6DFD30B59}" xr6:coauthVersionLast="47" xr6:coauthVersionMax="47" xr10:uidLastSave="{278B6445-9F68-4B6D-941E-1410B6849D4B}"/>
  <bookViews>
    <workbookView xWindow="-120" yWindow="-120" windowWidth="29040" windowHeight="15720" tabRatio="500" xr2:uid="{00000000-000D-0000-FFFF-FFFF00000000}"/>
  </bookViews>
  <sheets>
    <sheet name="Premissas" sheetId="1" r:id="rId1"/>
    <sheet name="DRE" sheetId="2" r:id="rId2"/>
    <sheet name="Divisão de Lucros" sheetId="3" r:id="rId3"/>
    <sheet name="Balanço" sheetId="4" r:id="rId4"/>
    <sheet name="Indicador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4" l="1"/>
  <c r="C10" i="4"/>
  <c r="B10" i="4"/>
  <c r="D9" i="4"/>
  <c r="C9" i="4"/>
  <c r="B9" i="4"/>
  <c r="E44" i="3"/>
  <c r="D44" i="3"/>
  <c r="C44" i="3"/>
  <c r="B44" i="3"/>
  <c r="F43" i="3"/>
  <c r="D39" i="3"/>
  <c r="C39" i="3"/>
  <c r="B39" i="3"/>
  <c r="F33" i="3"/>
  <c r="F28" i="3"/>
  <c r="F23" i="3"/>
  <c r="E11" i="3"/>
  <c r="D11" i="3"/>
  <c r="C11" i="3"/>
  <c r="B11" i="3"/>
  <c r="C10" i="3"/>
  <c r="G39" i="2"/>
  <c r="D39" i="2"/>
  <c r="B39" i="2"/>
  <c r="G37" i="2"/>
  <c r="D37" i="2"/>
  <c r="B37" i="2"/>
  <c r="G35" i="2"/>
  <c r="G34" i="2"/>
  <c r="D34" i="2"/>
  <c r="B34" i="2"/>
  <c r="I33" i="2"/>
  <c r="G33" i="2"/>
  <c r="D33" i="2"/>
  <c r="B33" i="2"/>
  <c r="G32" i="2"/>
  <c r="D32" i="2"/>
  <c r="B32" i="2"/>
  <c r="G31" i="2"/>
  <c r="D31" i="2"/>
  <c r="B31" i="2"/>
  <c r="G30" i="2"/>
  <c r="D30" i="2"/>
  <c r="B30" i="2"/>
  <c r="G26" i="2"/>
  <c r="D26" i="2"/>
  <c r="B26" i="2"/>
  <c r="G25" i="2"/>
  <c r="D25" i="2"/>
  <c r="B25" i="2"/>
  <c r="G24" i="2"/>
  <c r="D24" i="2"/>
  <c r="B24" i="2"/>
  <c r="G22" i="2"/>
  <c r="D22" i="2"/>
  <c r="G21" i="2"/>
  <c r="D21" i="2"/>
  <c r="B21" i="2"/>
  <c r="I16" i="2"/>
  <c r="G16" i="2"/>
  <c r="F16" i="2"/>
  <c r="D16" i="2"/>
  <c r="B16" i="2"/>
  <c r="G15" i="2"/>
  <c r="D15" i="2"/>
  <c r="B15" i="2"/>
  <c r="G14" i="2"/>
  <c r="D14" i="2"/>
  <c r="B14" i="2"/>
  <c r="G13" i="2"/>
  <c r="D13" i="2"/>
  <c r="B13" i="2"/>
  <c r="I12" i="2"/>
  <c r="G12" i="2"/>
  <c r="D12" i="2"/>
  <c r="B12" i="2"/>
  <c r="G11" i="2"/>
  <c r="D11" i="2"/>
  <c r="B11" i="2"/>
  <c r="G10" i="2"/>
  <c r="D10" i="2"/>
  <c r="B10" i="2"/>
  <c r="G9" i="2"/>
  <c r="D9" i="2"/>
  <c r="B9" i="2"/>
  <c r="I8" i="2"/>
  <c r="G8" i="2"/>
  <c r="D8" i="2"/>
  <c r="B8" i="2"/>
  <c r="G7" i="2"/>
  <c r="D7" i="2"/>
  <c r="B7" i="2"/>
  <c r="G6" i="2"/>
  <c r="D6" i="2"/>
  <c r="B6" i="2"/>
  <c r="G5" i="2"/>
  <c r="D5" i="2"/>
  <c r="B5" i="2"/>
  <c r="B22" i="2" l="1"/>
  <c r="B17" i="2"/>
  <c r="D17" i="2"/>
  <c r="B10" i="3"/>
  <c r="B17" i="4"/>
  <c r="D6" i="4"/>
  <c r="C6" i="4"/>
  <c r="B6" i="4"/>
  <c r="G23" i="3"/>
  <c r="D12" i="3"/>
  <c r="C12" i="3"/>
  <c r="B12" i="3"/>
  <c r="I39" i="2"/>
  <c r="F39" i="2"/>
  <c r="I37" i="2"/>
  <c r="D35" i="2"/>
  <c r="I35" i="2" s="1"/>
  <c r="B35" i="2"/>
  <c r="F35" i="2" s="1"/>
  <c r="I34" i="2"/>
  <c r="F34" i="2"/>
  <c r="I26" i="2"/>
  <c r="F26" i="2"/>
  <c r="I25" i="2"/>
  <c r="F25" i="2"/>
  <c r="I21" i="2"/>
  <c r="F37" i="2"/>
  <c r="F33" i="2"/>
  <c r="I32" i="2"/>
  <c r="F32" i="2"/>
  <c r="I31" i="2"/>
  <c r="F31" i="2"/>
  <c r="I30" i="2"/>
  <c r="F30" i="2"/>
  <c r="I24" i="2"/>
  <c r="F24" i="2"/>
  <c r="G23" i="2"/>
  <c r="G27" i="2" s="1"/>
  <c r="D23" i="2"/>
  <c r="B23" i="2"/>
  <c r="I22" i="2"/>
  <c r="F21" i="2"/>
  <c r="G17" i="2"/>
  <c r="I15" i="2"/>
  <c r="F15" i="2"/>
  <c r="I14" i="2"/>
  <c r="F14" i="2"/>
  <c r="I13" i="2"/>
  <c r="F13" i="2"/>
  <c r="D42" i="3"/>
  <c r="C42" i="3"/>
  <c r="B42" i="3"/>
  <c r="D41" i="3"/>
  <c r="C41" i="3"/>
  <c r="B41" i="3"/>
  <c r="E39" i="3"/>
  <c r="G33" i="3"/>
  <c r="G28" i="3"/>
  <c r="D10" i="3"/>
  <c r="D13" i="3" s="1"/>
  <c r="F12" i="2"/>
  <c r="I11" i="2"/>
  <c r="F11" i="2"/>
  <c r="I10" i="2"/>
  <c r="F10" i="2"/>
  <c r="I9" i="2"/>
  <c r="F9" i="2"/>
  <c r="F8" i="2"/>
  <c r="I7" i="2"/>
  <c r="F7" i="2"/>
  <c r="I6" i="2"/>
  <c r="F6" i="2"/>
  <c r="I5" i="2"/>
  <c r="F5" i="2"/>
  <c r="B16" i="4" l="1"/>
  <c r="F17" i="2"/>
  <c r="B27" i="5"/>
  <c r="F22" i="2"/>
  <c r="B18" i="2"/>
  <c r="F18" i="2" s="1"/>
  <c r="B26" i="5"/>
  <c r="E12" i="3"/>
  <c r="D27" i="5"/>
  <c r="D18" i="2"/>
  <c r="F23" i="2"/>
  <c r="C13" i="3"/>
  <c r="C16" i="4"/>
  <c r="C27" i="5"/>
  <c r="C26" i="5"/>
  <c r="B13" i="3"/>
  <c r="E41" i="3"/>
  <c r="E42" i="3"/>
  <c r="C17" i="4"/>
  <c r="D7" i="4"/>
  <c r="D8" i="4" s="1"/>
  <c r="I23" i="2"/>
  <c r="D27" i="2"/>
  <c r="G18" i="2"/>
  <c r="G19" i="2"/>
  <c r="D16" i="4"/>
  <c r="D26" i="5"/>
  <c r="B27" i="2"/>
  <c r="B7" i="4" s="1"/>
  <c r="I17" i="2"/>
  <c r="E10" i="3"/>
  <c r="B19" i="2" l="1"/>
  <c r="D6" i="5"/>
  <c r="D19" i="2"/>
  <c r="I18" i="2"/>
  <c r="E13" i="3"/>
  <c r="D17" i="4"/>
  <c r="C7" i="4"/>
  <c r="C8" i="4" s="1"/>
  <c r="I27" i="2"/>
  <c r="H19" i="2"/>
  <c r="H22" i="2"/>
  <c r="H23" i="2"/>
  <c r="H24" i="2"/>
  <c r="H27" i="2"/>
  <c r="G28" i="2"/>
  <c r="H30" i="2"/>
  <c r="H31" i="2"/>
  <c r="H32" i="2"/>
  <c r="H33" i="2"/>
  <c r="H35" i="2"/>
  <c r="H16" i="2"/>
  <c r="H21" i="2"/>
  <c r="H25" i="2"/>
  <c r="H26" i="2"/>
  <c r="H34" i="2"/>
  <c r="H37" i="2"/>
  <c r="H39" i="2"/>
  <c r="H5" i="2"/>
  <c r="H6" i="2"/>
  <c r="H7" i="2"/>
  <c r="H8" i="2"/>
  <c r="H9" i="2"/>
  <c r="H10" i="2"/>
  <c r="H11" i="2"/>
  <c r="H12" i="2"/>
  <c r="H13" i="2"/>
  <c r="H14" i="2"/>
  <c r="H15" i="2"/>
  <c r="H17" i="2"/>
  <c r="H18" i="2"/>
  <c r="F27" i="2"/>
  <c r="B8" i="4"/>
  <c r="B6" i="5" l="1"/>
  <c r="C16" i="2"/>
  <c r="C14" i="2"/>
  <c r="C13" i="2"/>
  <c r="C11" i="2"/>
  <c r="C10" i="2"/>
  <c r="C8" i="2"/>
  <c r="C7" i="2"/>
  <c r="C6" i="2"/>
  <c r="C5" i="2"/>
  <c r="C18" i="2"/>
  <c r="C15" i="2"/>
  <c r="C12" i="2"/>
  <c r="C9" i="2"/>
  <c r="C39" i="2"/>
  <c r="C35" i="2"/>
  <c r="C34" i="2"/>
  <c r="C27" i="2"/>
  <c r="C26" i="2"/>
  <c r="C22" i="2"/>
  <c r="F19" i="2"/>
  <c r="C19" i="2"/>
  <c r="C17" i="2"/>
  <c r="C37" i="2"/>
  <c r="C33" i="2"/>
  <c r="C32" i="2"/>
  <c r="C31" i="2"/>
  <c r="C30" i="2"/>
  <c r="B28" i="2"/>
  <c r="C25" i="2"/>
  <c r="C24" i="2"/>
  <c r="C23" i="2"/>
  <c r="C21" i="2"/>
  <c r="E27" i="2"/>
  <c r="D28" i="2"/>
  <c r="C6" i="5"/>
  <c r="E9" i="2"/>
  <c r="E7" i="2"/>
  <c r="E6" i="2"/>
  <c r="E5" i="2"/>
  <c r="E39" i="2"/>
  <c r="E35" i="2"/>
  <c r="E34" i="2"/>
  <c r="E26" i="2"/>
  <c r="E25" i="2"/>
  <c r="E22" i="2"/>
  <c r="E21" i="2"/>
  <c r="E17" i="2"/>
  <c r="E37" i="2"/>
  <c r="E33" i="2"/>
  <c r="E32" i="2"/>
  <c r="E31" i="2"/>
  <c r="E30" i="2"/>
  <c r="E24" i="2"/>
  <c r="E23" i="2"/>
  <c r="I19" i="2"/>
  <c r="E19" i="2"/>
  <c r="E18" i="2"/>
  <c r="E16" i="2"/>
  <c r="E15" i="2"/>
  <c r="E14" i="2"/>
  <c r="E13" i="2"/>
  <c r="E12" i="2"/>
  <c r="E11" i="2"/>
  <c r="E10" i="2"/>
  <c r="E8" i="2"/>
  <c r="H28" i="2"/>
  <c r="C28" i="2"/>
  <c r="G36" i="2"/>
  <c r="D5" i="5"/>
  <c r="F28" i="2"/>
  <c r="B36" i="2"/>
  <c r="B5" i="5"/>
  <c r="C5" i="5" l="1"/>
  <c r="D36" i="2"/>
  <c r="E28" i="2"/>
  <c r="I28" i="2"/>
  <c r="H36" i="2"/>
  <c r="G38" i="2"/>
  <c r="D7" i="5"/>
  <c r="C36" i="2"/>
  <c r="B38" i="2"/>
  <c r="B7" i="5"/>
  <c r="I36" i="2"/>
  <c r="F36" i="2" l="1"/>
  <c r="E36" i="2"/>
  <c r="C7" i="5"/>
  <c r="D38" i="2"/>
  <c r="H38" i="2"/>
  <c r="G40" i="2"/>
  <c r="D8" i="5"/>
  <c r="C38" i="2"/>
  <c r="F38" i="2"/>
  <c r="B40" i="2"/>
  <c r="B8" i="5"/>
  <c r="C8" i="5" l="1"/>
  <c r="D40" i="2"/>
  <c r="E38" i="2"/>
  <c r="I38" i="2"/>
  <c r="H40" i="2"/>
  <c r="G41" i="2"/>
  <c r="H41" i="2" s="1"/>
  <c r="C40" i="2"/>
  <c r="F40" i="2"/>
  <c r="B41" i="2"/>
  <c r="D41" i="2" l="1"/>
  <c r="E40" i="2"/>
  <c r="I40" i="2"/>
  <c r="G42" i="2"/>
  <c r="H42" i="2"/>
  <c r="D5" i="3"/>
  <c r="D7" i="3" s="1"/>
  <c r="D9" i="5"/>
  <c r="D10" i="5"/>
  <c r="C41" i="2"/>
  <c r="B42" i="2"/>
  <c r="F41" i="2" l="1"/>
  <c r="D42" i="2"/>
  <c r="E41" i="2"/>
  <c r="I41" i="2"/>
  <c r="D12" i="5"/>
  <c r="D18" i="3"/>
  <c r="D17" i="3"/>
  <c r="D16" i="3"/>
  <c r="B12" i="5"/>
  <c r="B10" i="5"/>
  <c r="B9" i="5"/>
  <c r="B11" i="4"/>
  <c r="B5" i="3"/>
  <c r="C42" i="2"/>
  <c r="F42" i="2" l="1"/>
  <c r="I42" i="2"/>
  <c r="C5" i="3"/>
  <c r="C7" i="3" s="1"/>
  <c r="C10" i="5"/>
  <c r="E42" i="2"/>
  <c r="C9" i="5"/>
  <c r="C12" i="5"/>
  <c r="D32" i="3"/>
  <c r="D31" i="3"/>
  <c r="D26" i="3"/>
  <c r="D27" i="3"/>
  <c r="D22" i="3"/>
  <c r="D21" i="3"/>
  <c r="B12" i="4"/>
  <c r="C11" i="4"/>
  <c r="B7" i="3"/>
  <c r="E5" i="3" l="1"/>
  <c r="C18" i="3"/>
  <c r="C17" i="3"/>
  <c r="C16" i="3"/>
  <c r="D53" i="3"/>
  <c r="D48" i="3"/>
  <c r="D49" i="3" s="1"/>
  <c r="D52" i="3"/>
  <c r="D47" i="3"/>
  <c r="B13" i="5"/>
  <c r="B13" i="4"/>
  <c r="B18" i="4" s="1"/>
  <c r="B23" i="5"/>
  <c r="B24" i="5"/>
  <c r="C12" i="4"/>
  <c r="D11" i="4"/>
  <c r="D12" i="4" s="1"/>
  <c r="B18" i="3"/>
  <c r="B17" i="3"/>
  <c r="B16" i="3"/>
  <c r="E7" i="3"/>
  <c r="C32" i="3" l="1"/>
  <c r="C31" i="3"/>
  <c r="C27" i="3"/>
  <c r="C26" i="3"/>
  <c r="C21" i="3"/>
  <c r="C22" i="3"/>
  <c r="B19" i="4"/>
  <c r="B17" i="5"/>
  <c r="C13" i="5"/>
  <c r="C13" i="4"/>
  <c r="C18" i="4" s="1"/>
  <c r="C23" i="5"/>
  <c r="C24" i="5"/>
  <c r="D13" i="5"/>
  <c r="D13" i="4"/>
  <c r="D18" i="4" s="1"/>
  <c r="D23" i="5"/>
  <c r="D24" i="5"/>
  <c r="B32" i="3"/>
  <c r="B31" i="3"/>
  <c r="E18" i="3"/>
  <c r="B26" i="3"/>
  <c r="B27" i="3"/>
  <c r="E17" i="3"/>
  <c r="B22" i="3"/>
  <c r="B21" i="3"/>
  <c r="E16" i="3"/>
  <c r="E32" i="3" l="1"/>
  <c r="E31" i="3"/>
  <c r="E26" i="3"/>
  <c r="E27" i="3"/>
  <c r="C47" i="3"/>
  <c r="C52" i="3"/>
  <c r="C48" i="3"/>
  <c r="C49" i="3" s="1"/>
  <c r="C53" i="3"/>
  <c r="B20" i="4"/>
  <c r="B18" i="5"/>
  <c r="B19" i="5"/>
  <c r="B20" i="5"/>
  <c r="C17" i="5"/>
  <c r="C19" i="4"/>
  <c r="D19" i="4"/>
  <c r="D17" i="5"/>
  <c r="B53" i="3"/>
  <c r="E22" i="3"/>
  <c r="B48" i="3"/>
  <c r="B52" i="3"/>
  <c r="E21" i="3"/>
  <c r="B47" i="3"/>
  <c r="E47" i="3" s="1"/>
  <c r="E53" i="3" l="1"/>
  <c r="E52" i="3"/>
  <c r="B15" i="5"/>
  <c r="B22" i="5"/>
  <c r="B14" i="5"/>
  <c r="B21" i="4"/>
  <c r="C20" i="4"/>
  <c r="C18" i="5"/>
  <c r="C19" i="5"/>
  <c r="C20" i="5"/>
  <c r="D20" i="4"/>
  <c r="D18" i="5"/>
  <c r="D19" i="5"/>
  <c r="D20" i="5"/>
  <c r="B49" i="3"/>
  <c r="E49" i="3" s="1"/>
  <c r="E48" i="3"/>
  <c r="C15" i="5" l="1"/>
  <c r="C22" i="5"/>
  <c r="C14" i="5"/>
  <c r="C21" i="4"/>
  <c r="D15" i="5"/>
  <c r="D14" i="5"/>
  <c r="D22" i="5"/>
  <c r="D21" i="4"/>
</calcChain>
</file>

<file path=xl/sharedStrings.xml><?xml version="1.0" encoding="utf-8"?>
<sst xmlns="http://schemas.openxmlformats.org/spreadsheetml/2006/main" count="279" uniqueCount="248">
  <si>
    <t>RealRisk — Premissas do Modelo (Cenário Esperado)</t>
  </si>
  <si>
    <t>Moeda: USD · Ano 1 = Jul/2026–Jun/2027 · Células azuis = inputs editáveis</t>
  </si>
  <si>
    <t>VOLUMES E PREÇOS</t>
  </si>
  <si>
    <t>Ano 1</t>
  </si>
  <si>
    <t>Ano 2</t>
  </si>
  <si>
    <t>Ano 3</t>
  </si>
  <si>
    <t>Fonte / racional</t>
  </si>
  <si>
    <t>Assinantes médios ativos no ano</t>
  </si>
  <si>
    <t>Ramp: 100 fim A1, 200 fim A2, ~380 fim A3 (playbook ajustado por churn 25–35%)</t>
  </si>
  <si>
    <t>Preço assinatura (US$/ano)</t>
  </si>
  <si>
    <t>Modelo de negócio Notion</t>
  </si>
  <si>
    <t>Kit Desembarque — unidades</t>
  </si>
  <si>
    <t>Cursos v2, degrau 1</t>
  </si>
  <si>
    <t>Kit Desembarque — preço</t>
  </si>
  <si>
    <t>Cursos v2: $97–147 (média)</t>
  </si>
  <si>
    <t>Trilha 1 — unidades</t>
  </si>
  <si>
    <t>Lança no gate de 100 assinantes (Fase 6)</t>
  </si>
  <si>
    <t>Trilha 1 — preço</t>
  </si>
  <si>
    <t>Cursos v2</t>
  </si>
  <si>
    <t>Trilha 2 — unidades</t>
  </si>
  <si>
    <t>Lança por último (depende de Deal Rooms)</t>
  </si>
  <si>
    <t>Trilha 2 — preço</t>
  </si>
  <si>
    <t>Cursos v2 (reprecificada)</t>
  </si>
  <si>
    <t>Trilha 3 — unidades</t>
  </si>
  <si>
    <t>Depende de gravações com parceiros</t>
  </si>
  <si>
    <t>Trilha 3 — preço</t>
  </si>
  <si>
    <t>Análise de Deal Avulsa — unidades</t>
  </si>
  <si>
    <t>Cursos v2, degrau 5</t>
  </si>
  <si>
    <t>Análise de Deal Avulsa — preço</t>
  </si>
  <si>
    <t>Cursos v2: $297–497 (média)</t>
  </si>
  <si>
    <t>Mentoria — vagas vendidas</t>
  </si>
  <si>
    <t>Limite 5/trimestre</t>
  </si>
  <si>
    <t>Mentoria — preço</t>
  </si>
  <si>
    <t>Playbook</t>
  </si>
  <si>
    <t>Inspeções — quantidade</t>
  </si>
  <si>
    <t>Playbook: $950/imóvel</t>
  </si>
  <si>
    <t>Inspeção — preço</t>
  </si>
  <si>
    <t>Due diligence — quantidade</t>
  </si>
  <si>
    <t>Playbook: $1.800/imóvel</t>
  </si>
  <si>
    <t>Due diligence — preço</t>
  </si>
  <si>
    <t>Flips com participação — quantidade</t>
  </si>
  <si>
    <t>Conservador; 1 deal documentado é gate da Fase 4</t>
  </si>
  <si>
    <t>Lucro médio por flip (US$)</t>
  </si>
  <si>
    <t>Premissa interna; revisar com dados reais</t>
  </si>
  <si>
    <t>Participação RealRisk no flip (%)</t>
  </si>
  <si>
    <t>Modelo de negócio: 20% do lucro</t>
  </si>
  <si>
    <t>Marketplace/referrals (remessa, contador, lender, seguro)</t>
  </si>
  <si>
    <t>Cursos v2 §4 — rampa após formalizar parcerias</t>
  </si>
  <si>
    <t>Radar trimestral avulso + patrocínio B2B</t>
  </si>
  <si>
    <t>Cursos v2 §4 — patrocínio só após Fase 5</t>
  </si>
  <si>
    <t>CUSTOS DIRETOS (CSP)</t>
  </si>
  <si>
    <t>Taxas de pagamento/plataforma (% receita assin.+cursos)</t>
  </si>
  <si>
    <t>Stripe/Hotmart/Circle ~4–8%</t>
  </si>
  <si>
    <t>Comissão de afiliados (% receita assin.+cursos)</t>
  </si>
  <si>
    <t>10% sobre ~40–50% das vendas atribuídas</t>
  </si>
  <si>
    <t>Repasse a parceiros — serviços/mentoria/flips (%)</t>
  </si>
  <si>
    <t>Split Jales sobre serviços de deal, mentoria e flips</t>
  </si>
  <si>
    <t>Custo direto por inspeção (US$)</t>
  </si>
  <si>
    <t>Inspetor terceirizado/ferramentas</t>
  </si>
  <si>
    <t>Custo direto por due diligence (US$)</t>
  </si>
  <si>
    <t>Buscas, relatórios, terceiros</t>
  </si>
  <si>
    <t>Infra plataforma (Circle+SimplyRETS+APIs+hosting)/ano</t>
  </si>
  <si>
    <t>Circle ~$2,6k + SimplyRETS $600 + APIs/VPS</t>
  </si>
  <si>
    <t>Produção e edição de conteúdo/cursos (ano)</t>
  </si>
  <si>
    <t>Edição vídeos, plataforma de curso</t>
  </si>
  <si>
    <t>DESPESAS OPERACIONAIS</t>
  </si>
  <si>
    <t>Marketing e ferramentas de distribuição</t>
  </si>
  <si>
    <t>Orgânico + afiliados já no CSP; aqui só ferramentas/eventos</t>
  </si>
  <si>
    <t>Custo econômico da hora do operador</t>
  </si>
  <si>
    <t>Contabilidade, jurídico e compliance (BR+US)</t>
  </si>
  <si>
    <t>Inclui parecer securities US no A2 (pré-Fase 7)</t>
  </si>
  <si>
    <t>Software e administrativas</t>
  </si>
  <si>
    <t>Analista/VA (gatilho Fase 7)</t>
  </si>
  <si>
    <t>Contratação playbook Fase 7</t>
  </si>
  <si>
    <t>IMPOSTOS, CAPEX E CAPITAL</t>
  </si>
  <si>
    <t>Impostos sobre receita (deduções) %</t>
  </si>
  <si>
    <t>⚠️ Assunção simplificada — definir estrutura societária BR/US</t>
  </si>
  <si>
    <t>IR/CSLL sobre LAIR %</t>
  </si>
  <si>
    <t>⚠️ Assunção simplificada — validar com contador</t>
  </si>
  <si>
    <t>Capex (equipamentos/gravação)</t>
  </si>
  <si>
    <t>Depreciação linear 3 anos</t>
  </si>
  <si>
    <t>Capital próprio aportado (acumulado)</t>
  </si>
  <si>
    <t>Aporte inicial Lucas/sócios</t>
  </si>
  <si>
    <t>Receita diferida (% da receita anual de assinaturas)</t>
  </si>
  <si>
    <t>Assinaturas anuais pagas antecipadas ainda não apropriadas</t>
  </si>
  <si>
    <t>Contas a receber (% receita bruta)</t>
  </si>
  <si>
    <t>Recebíveis de cursos parcelados/serviços</t>
  </si>
  <si>
    <t>Contas a pagar (% custos+despesas)</t>
  </si>
  <si>
    <t>Fornecedores/repasse a pagar</t>
  </si>
  <si>
    <t>RealRisk — DRE Projetada (3 anos, US$)</t>
  </si>
  <si>
    <t>AV %</t>
  </si>
  <si>
    <t>AH %</t>
  </si>
  <si>
    <t>RECEITA BRUTA</t>
  </si>
  <si>
    <t xml:space="preserve">  Assinaturas Circle</t>
  </si>
  <si>
    <t xml:space="preserve">  Kit Desembarque</t>
  </si>
  <si>
    <t xml:space="preserve">  Trilha 1 — Fundamentos</t>
  </si>
  <si>
    <t xml:space="preserve">  Trilha 2 — Avançado</t>
  </si>
  <si>
    <t xml:space="preserve">  Trilha 3 — Burocracia</t>
  </si>
  <si>
    <t xml:space="preserve">  Análise de Deal Avulsa</t>
  </si>
  <si>
    <t xml:space="preserve">  Mentoria individual</t>
  </si>
  <si>
    <t xml:space="preserve">  Inspeções</t>
  </si>
  <si>
    <t xml:space="preserve">  Due diligence</t>
  </si>
  <si>
    <t xml:space="preserve">  Participação em flips (20% lucro)</t>
  </si>
  <si>
    <t xml:space="preserve">  Marketplace / referrals</t>
  </si>
  <si>
    <t xml:space="preserve">  Radar avulso + patrocínio B2B</t>
  </si>
  <si>
    <t>Receita Bruta Total</t>
  </si>
  <si>
    <t>(–) Deduções / impostos sobre receita</t>
  </si>
  <si>
    <t>RECEITA LÍQUIDA</t>
  </si>
  <si>
    <t>CUSTO DOS SERVIÇOS PRESTADOS (CSP)</t>
  </si>
  <si>
    <t xml:space="preserve">  Taxas de pagamento e plataforma</t>
  </si>
  <si>
    <t xml:space="preserve">  Comissões de afiliados</t>
  </si>
  <si>
    <t xml:space="preserve">  Repasse a parceiros (serviços/mentoria/flips)</t>
  </si>
  <si>
    <t xml:space="preserve">  Custos diretos de inspeção/DD</t>
  </si>
  <si>
    <t xml:space="preserve">  Infraestrutura da plataforma</t>
  </si>
  <si>
    <t xml:space="preserve">  Produção de conteúdo/cursos</t>
  </si>
  <si>
    <t>CSP Total</t>
  </si>
  <si>
    <t>LUCRO BRUTO</t>
  </si>
  <si>
    <t xml:space="preserve">  Marketing e distribuição</t>
  </si>
  <si>
    <t xml:space="preserve">  Pró-labore (gestão/tecnologia)</t>
  </si>
  <si>
    <t xml:space="preserve">  Contabilidade, jurídico e compliance</t>
  </si>
  <si>
    <t xml:space="preserve">  Software e administrativas</t>
  </si>
  <si>
    <t xml:space="preserve">  Pessoal — analista/VA</t>
  </si>
  <si>
    <t>Despesas Operacionais Total</t>
  </si>
  <si>
    <t>EBITDA</t>
  </si>
  <si>
    <t>(–) Depreciação e amortização</t>
  </si>
  <si>
    <t>EBIT (Resultado Operacional)</t>
  </si>
  <si>
    <t>Resultado financeiro</t>
  </si>
  <si>
    <t>LAIR (Lucro antes de IR)</t>
  </si>
  <si>
    <t>(–) IR/CSLL</t>
  </si>
  <si>
    <t>LUCRO LÍQUIDO</t>
  </si>
  <si>
    <t>AV % = análise vertical (% da receita líquida) · AH % = análise horizontal (variação vs ano anterior)</t>
  </si>
  <si>
    <t>RealRisk — Divisão de Lucros por Fonte de Receita</t>
  </si>
  <si>
    <t>Separa o que a plataforma ORIGINA (split alto) do que é deal PRÓPRIO do Jales (só override). Estevan/Samuel = custo, não sócios.</t>
  </si>
  <si>
    <t>3 anos (acum.)</t>
  </si>
  <si>
    <t>Lucro Líquido da empresa (da DRE)</t>
  </si>
  <si>
    <t>% payout (lucro distribuído)</t>
  </si>
  <si>
    <t>reduza p/ reter caixa</t>
  </si>
  <si>
    <t>Lucro distribuível da empresa</t>
  </si>
  <si>
    <t>RECEITA POR FONTE (dentro da empresa)</t>
  </si>
  <si>
    <t xml:space="preserve">  Plataforma (assinaturas, cursos, parcerias)</t>
  </si>
  <si>
    <t xml:space="preserve">  Serviços de deal (inspeção, DD, mentoria, avulsa)</t>
  </si>
  <si>
    <t xml:space="preserve">  Flips ORIGINADOS pela plataforma</t>
  </si>
  <si>
    <t>Receita Bruta Total (conferência)</t>
  </si>
  <si>
    <t>LUCRO ATRIBUÍDO POR FONTE</t>
  </si>
  <si>
    <t xml:space="preserve"> (= distribuível x receita fonte / total)</t>
  </si>
  <si>
    <t xml:space="preserve">  Lucro — Plataforma</t>
  </si>
  <si>
    <t xml:space="preserve">  Lucro — Serviços de deal</t>
  </si>
  <si>
    <t xml:space="preserve">  Lucro — Flips originados pela plataforma</t>
  </si>
  <si>
    <t>SPLIT — PLATAFORMA</t>
  </si>
  <si>
    <t>%</t>
  </si>
  <si>
    <t xml:space="preserve">  Lucas</t>
  </si>
  <si>
    <t xml:space="preserve">  Jales Castro</t>
  </si>
  <si>
    <t xml:space="preserve">  soma %</t>
  </si>
  <si>
    <t>SPLIT — SERVIÇOS DE DEAL</t>
  </si>
  <si>
    <t>sugestão 45/55 — execução/licença do Jales</t>
  </si>
  <si>
    <t>SPLIT — FLIPS ORIGINADOS PELA PLATAFORMA</t>
  </si>
  <si>
    <t>sugestão 50/50 — sem a plataforma não existiria</t>
  </si>
  <si>
    <t>OVERRIDE — DEALS PRÓPRIOS DO JALES (fora da DRE)</t>
  </si>
  <si>
    <t xml:space="preserve"> deals grandes que ele já faz; plataforma só estrutura/escala</t>
  </si>
  <si>
    <t xml:space="preserve">  Nº de deals próprios estruturados pela plataforma</t>
  </si>
  <si>
    <t>ex.: fazenda desmembrada em 30+ lotes</t>
  </si>
  <si>
    <t xml:space="preserve">  Lucro médio por deal próprio (US$)</t>
  </si>
  <si>
    <t>deal grande — ajustar à realidade</t>
  </si>
  <si>
    <t xml:space="preserve">  % override da plataforma sobre o deal</t>
  </si>
  <si>
    <t>fee por estruturar/levar capital/comprador</t>
  </si>
  <si>
    <t>Override total recebido pela plataforma</t>
  </si>
  <si>
    <t>Split do override</t>
  </si>
  <si>
    <t>override-heavy p/ Lucas: é o fee da plataforma</t>
  </si>
  <si>
    <t>Jales retém do próprio deal (1 − override)</t>
  </si>
  <si>
    <t>RESULTADO TOTAL POR SÓCIO</t>
  </si>
  <si>
    <t xml:space="preserve">  Lucas — total (empresa + override)</t>
  </si>
  <si>
    <t xml:space="preserve">  Jales — da empresa + override</t>
  </si>
  <si>
    <t xml:space="preserve">  Jales — INCLUINDO o que retém dos deals próprios</t>
  </si>
  <si>
    <t>PARTICIPAÇÃO EFETIVA NA EMPRESA (%) — âncora do contrato</t>
  </si>
  <si>
    <t xml:space="preserve">  Lucas — % efetivo na empresa</t>
  </si>
  <si>
    <t xml:space="preserve">  Jales — % efetivo na empresa</t>
  </si>
  <si>
    <t>COMO LER: o Jales não precisa da plataforma p/ fazer os deals dele — precisa dela p/ ESCALAR. Por isso os deals próprios</t>
  </si>
  <si>
    <t>continuam dele (ele retém ~90%); a plataforma cobra só um override por estruturar. Isso protege os dois: você não se</t>
  </si>
  <si>
    <t>apropria do deal flow dele, e ele não diz que você "entrou nos negócios dele". O override é Lucas-heavy porque é o fee da máquina.</t>
  </si>
  <si>
    <t>A linha "Jales incluindo deals próprios" mostra que ele ganha MUITO — é o argumento que faz ele aceitar 28% na plataforma.</t>
  </si>
  <si>
    <t>Estevan/Samuel: operação (CLT/PJ + bônus ou phantom equity), não cap table. Vesting do Jales 3–4 anos, cliff 1 ano. Validar com advogado.</t>
  </si>
  <si>
    <t>Balanço Patrimonial Simplificado (fim de cada ano, US$)</t>
  </si>
  <si>
    <t>Simplificação para fins de indicadores — caixa derivado da identidade contábil</t>
  </si>
  <si>
    <t>PASSIVO + PL (calculado primeiro)</t>
  </si>
  <si>
    <t>Receita diferida (assinaturas antecipadas)</t>
  </si>
  <si>
    <t>Contas a pagar (fornecedores/repasses)</t>
  </si>
  <si>
    <t>Passivo Circulante Total</t>
  </si>
  <si>
    <t>Passivo Não Circulante</t>
  </si>
  <si>
    <t>Capital social aportado</t>
  </si>
  <si>
    <t>Lucros acumulados</t>
  </si>
  <si>
    <t>Patrimônio Líquido Total</t>
  </si>
  <si>
    <t>PASSIVO TOTAL + PL</t>
  </si>
  <si>
    <t>ATIVO</t>
  </si>
  <si>
    <t>Contas a receber</t>
  </si>
  <si>
    <t>Imobilizado líquido</t>
  </si>
  <si>
    <t>Caixa e equivalentes (plug contábil)</t>
  </si>
  <si>
    <t>Ativo Circulante (Caixa + AR)</t>
  </si>
  <si>
    <t>ATIVO TOTAL</t>
  </si>
  <si>
    <t>Check (Ativo − Passivo+PL = 0)</t>
  </si>
  <si>
    <t>Painel de Indicadores — RealRisk (3 anos)</t>
  </si>
  <si>
    <t>Indicador</t>
  </si>
  <si>
    <t>Leitura</t>
  </si>
  <si>
    <t>RENTABILIDADE (DRE)</t>
  </si>
  <si>
    <t>Margem Bruta — eficiência produtiva</t>
  </si>
  <si>
    <t>Lucro bruto / receita líquida. Quanto sobra após custos diretos de entrega</t>
  </si>
  <si>
    <t>CSP % da receita líquida</t>
  </si>
  <si>
    <t>Peso dos custos diretos (taxas, repasses, infra, produção)</t>
  </si>
  <si>
    <t>Margem EBITDA — potencial de geração de caixa</t>
  </si>
  <si>
    <t>Resultado antes de juros, impostos, D&amp;A</t>
  </si>
  <si>
    <t>Margem Operacional (EBIT) — desempenho das operações</t>
  </si>
  <si>
    <t>Resultado operacional / receita líquida</t>
  </si>
  <si>
    <t>Margem Líquida — lucratividade final</t>
  </si>
  <si>
    <t>O que sobra para o sócio de cada $1 de receita</t>
  </si>
  <si>
    <t>Lucratividade (LL / Receita Bruta)</t>
  </si>
  <si>
    <t>Visão sobre o faturamento total</t>
  </si>
  <si>
    <t>RETORNO</t>
  </si>
  <si>
    <t>ROI — retorno sobre investimento</t>
  </si>
  <si>
    <t>LL / (capital aportado + capex acumulado)</t>
  </si>
  <si>
    <t>ROE — retorno sobre PL</t>
  </si>
  <si>
    <t>LL / patrimônio líquido de fim de ano</t>
  </si>
  <si>
    <t>Giro do Ativo</t>
  </si>
  <si>
    <t>Receita líquida / ativo total — quanto o ativo "roda" por ano</t>
  </si>
  <si>
    <t>ROA (LL / Ativo total)</t>
  </si>
  <si>
    <t>Eficiência do ativo em gerar lucro</t>
  </si>
  <si>
    <t>LIQUIDEZ (Balanço)</t>
  </si>
  <si>
    <t>Liquidez Imediata (Caixa / PC)</t>
  </si>
  <si>
    <t>Capacidade de pagar o circulante só com caixa</t>
  </si>
  <si>
    <t>Liquidez Corrente (AC / PC)</t>
  </si>
  <si>
    <t>"Liquidez recorrente" — circulante sobre circulante</t>
  </si>
  <si>
    <t>Liquidez Seca ((AC − Estoques) / PC)</t>
  </si>
  <si>
    <t>Negócio sem estoque → igual à corrente</t>
  </si>
  <si>
    <t>Liquidez Geral ((AC+RLP) / (PC+PNC))</t>
  </si>
  <si>
    <t>Solvência total — sem dívida de LP, ≈ corrente</t>
  </si>
  <si>
    <t>ESTRUTURA DE CAPITAL</t>
  </si>
  <si>
    <t>Endividamento Geral (Passivo / Ativo)</t>
  </si>
  <si>
    <t>Quanto do ativo é financiado por terceiros (aqui: receita diferida)</t>
  </si>
  <si>
    <t>Capital de Terceiros / PL</t>
  </si>
  <si>
    <t>Alavancagem — passivo sobre capital próprio</t>
  </si>
  <si>
    <t>Imobilização do PL (Imob / PL)</t>
  </si>
  <si>
    <t>Quanto do capital próprio está preso em ativo fixo</t>
  </si>
  <si>
    <t>UNIT ECONOMICS (Cursos v2 §6)</t>
  </si>
  <si>
    <t>ARPU expandido (Receita bruta / assinante médio / mês)</t>
  </si>
  <si>
    <t>Meta cursos v2: &gt; $150/mês</t>
  </si>
  <si>
    <t>Receita não-assinatura (% da receita bruta)</t>
  </si>
  <si>
    <t>Diversificação — quanto vem de cursos, serviços e parcerias</t>
  </si>
  <si>
    <t>Pró-labore Edifico (gestão da tecnologia)</t>
  </si>
  <si>
    <t>e parceria?</t>
  </si>
  <si>
    <t>inspecoes?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</si>
</sst>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\$#,##0;&quot;($&quot;#,##0\);\-"/>
    <numFmt numFmtId="166" formatCode="0.0%;\(0.0%\);\-"/>
    <numFmt numFmtId="167" formatCode="0.00\x"/>
  </numFmts>
  <fonts count="15" x14ac:knownFonts="1">
    <font>
      <sz val="11"/>
      <color theme="1"/>
      <name val="Calibri"/>
      <family val="2"/>
      <charset val="1"/>
    </font>
    <font>
      <b/>
      <sz val="13"/>
      <color rgb="FF1B2A4A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8.5"/>
      <color rgb="FF555555"/>
      <name val="Arial"/>
      <charset val="1"/>
    </font>
    <font>
      <sz val="9"/>
      <color rgb="FF777777"/>
      <name val="Arial"/>
      <charset val="1"/>
    </font>
    <font>
      <sz val="9"/>
      <color rgb="FF2E6FDB"/>
      <name val="Arial"/>
      <charset val="1"/>
    </font>
    <font>
      <b/>
      <sz val="10"/>
      <name val="Arial"/>
      <charset val="1"/>
    </font>
    <font>
      <i/>
      <sz val="8.5"/>
      <color rgb="FF555555"/>
      <name val="Arial"/>
      <charset val="1"/>
    </font>
    <font>
      <sz val="10"/>
      <color rgb="FF008000"/>
      <name val="Arial"/>
      <charset val="1"/>
    </font>
    <font>
      <i/>
      <sz val="10"/>
      <color rgb="FF555555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9D4E5"/>
      </patternFill>
    </fill>
    <fill>
      <patternFill patternType="solid">
        <fgColor rgb="FFFCE9C2"/>
        <bgColor rgb="FFFFFF99"/>
      </patternFill>
    </fill>
  </fills>
  <borders count="2">
    <border>
      <left/>
      <right/>
      <top/>
      <bottom/>
      <diagonal/>
    </border>
    <border>
      <left style="thin">
        <color rgb="FFC9D4E5"/>
      </left>
      <right style="thin">
        <color rgb="FFC9D4E5"/>
      </right>
      <top style="thin">
        <color rgb="FFC9D4E5"/>
      </top>
      <bottom style="thin">
        <color rgb="FFC9D4E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166" fontId="5" fillId="0" borderId="1" xfId="0" applyNumberFormat="1" applyFont="1" applyBorder="1"/>
    <xf numFmtId="0" fontId="0" fillId="2" borderId="0" xfId="0" applyFill="1"/>
    <xf numFmtId="166" fontId="5" fillId="3" borderId="1" xfId="0" applyNumberFormat="1" applyFont="1" applyFill="1" applyBorder="1"/>
    <xf numFmtId="0" fontId="3" fillId="2" borderId="0" xfId="0" applyFont="1" applyFill="1" applyAlignment="1">
      <alignment horizontal="center"/>
    </xf>
    <xf numFmtId="165" fontId="4" fillId="0" borderId="1" xfId="0" applyNumberFormat="1" applyFont="1" applyBorder="1"/>
    <xf numFmtId="166" fontId="7" fillId="0" borderId="1" xfId="0" applyNumberFormat="1" applyFont="1" applyBorder="1"/>
    <xf numFmtId="166" fontId="8" fillId="0" borderId="1" xfId="0" applyNumberFormat="1" applyFont="1" applyBorder="1"/>
    <xf numFmtId="0" fontId="9" fillId="4" borderId="0" xfId="0" applyFont="1" applyFill="1"/>
    <xf numFmtId="165" fontId="9" fillId="4" borderId="1" xfId="0" applyNumberFormat="1" applyFont="1" applyFill="1" applyBorder="1"/>
    <xf numFmtId="166" fontId="7" fillId="4" borderId="1" xfId="0" applyNumberFormat="1" applyFont="1" applyFill="1" applyBorder="1"/>
    <xf numFmtId="166" fontId="8" fillId="4" borderId="1" xfId="0" applyNumberFormat="1" applyFont="1" applyFill="1" applyBorder="1"/>
    <xf numFmtId="0" fontId="9" fillId="0" borderId="0" xfId="0" applyFont="1"/>
    <xf numFmtId="165" fontId="9" fillId="0" borderId="1" xfId="0" applyNumberFormat="1" applyFont="1" applyBorder="1"/>
    <xf numFmtId="0" fontId="10" fillId="0" borderId="0" xfId="0" applyFont="1"/>
    <xf numFmtId="165" fontId="11" fillId="0" borderId="1" xfId="0" applyNumberFormat="1" applyFont="1" applyBorder="1"/>
    <xf numFmtId="0" fontId="12" fillId="0" borderId="0" xfId="0" applyFont="1"/>
    <xf numFmtId="165" fontId="13" fillId="4" borderId="1" xfId="0" applyNumberFormat="1" applyFont="1" applyFill="1" applyBorder="1"/>
    <xf numFmtId="166" fontId="13" fillId="0" borderId="1" xfId="0" applyNumberFormat="1" applyFont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5" fontId="13" fillId="5" borderId="1" xfId="0" applyNumberFormat="1" applyFont="1" applyFill="1" applyBorder="1"/>
    <xf numFmtId="165" fontId="14" fillId="0" borderId="1" xfId="0" applyNumberFormat="1" applyFont="1" applyBorder="1"/>
    <xf numFmtId="165" fontId="13" fillId="0" borderId="1" xfId="0" applyNumberFormat="1" applyFont="1" applyBorder="1"/>
    <xf numFmtId="166" fontId="11" fillId="0" borderId="1" xfId="0" applyNumberFormat="1" applyFont="1" applyBorder="1"/>
    <xf numFmtId="167" fontId="11" fillId="0" borderId="1" xfId="0" applyNumberFormat="1" applyFont="1" applyBorder="1"/>
    <xf numFmtId="0" fontId="3" fillId="2" borderId="0" xfId="0" applyFont="1" applyFill="1" applyAlignment="1">
      <alignment horizontal="center"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5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CE9C2"/>
      <rgbColor rgb="FFD9E2F3"/>
      <rgbColor rgb="FF660066"/>
      <rgbColor rgb="FFFF8080"/>
      <rgbColor rgb="FF0066CC"/>
      <rgbColor rgb="FFC9D4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FDB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Normal="100" workbookViewId="0">
      <selection activeCell="E24" sqref="E24"/>
    </sheetView>
  </sheetViews>
  <sheetFormatPr defaultColWidth="8.7109375" defaultRowHeight="15" x14ac:dyDescent="0.25"/>
  <cols>
    <col min="1" max="1" width="44" customWidth="1"/>
    <col min="2" max="4" width="13" customWidth="1"/>
    <col min="5" max="5" width="52" customWidth="1"/>
  </cols>
  <sheetData>
    <row r="1" spans="1:5" ht="15.75" customHeight="1" x14ac:dyDescent="0.25">
      <c r="A1" s="1" t="s">
        <v>0</v>
      </c>
    </row>
    <row r="2" spans="1:5" ht="15" customHeight="1" x14ac:dyDescent="0.25">
      <c r="A2" s="2" t="s">
        <v>1</v>
      </c>
    </row>
    <row r="4" spans="1:5" ht="1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" customHeight="1" x14ac:dyDescent="0.25">
      <c r="A5" s="4" t="s">
        <v>7</v>
      </c>
      <c r="B5" s="5">
        <v>40</v>
      </c>
      <c r="C5" s="6">
        <v>150</v>
      </c>
      <c r="D5" s="6">
        <v>290</v>
      </c>
      <c r="E5" s="7" t="s">
        <v>8</v>
      </c>
    </row>
    <row r="6" spans="1:5" ht="15" customHeight="1" x14ac:dyDescent="0.25">
      <c r="A6" s="4" t="s">
        <v>9</v>
      </c>
      <c r="B6" s="6">
        <v>1200</v>
      </c>
      <c r="C6" s="6">
        <v>1200</v>
      </c>
      <c r="D6" s="6">
        <v>1200</v>
      </c>
      <c r="E6" s="7" t="s">
        <v>10</v>
      </c>
    </row>
    <row r="7" spans="1:5" ht="15" customHeight="1" x14ac:dyDescent="0.25">
      <c r="A7" s="4" t="s">
        <v>11</v>
      </c>
      <c r="B7" s="6">
        <v>100</v>
      </c>
      <c r="C7" s="6">
        <v>250</v>
      </c>
      <c r="D7" s="6">
        <v>400</v>
      </c>
      <c r="E7" s="7" t="s">
        <v>12</v>
      </c>
    </row>
    <row r="8" spans="1:5" ht="15" customHeight="1" x14ac:dyDescent="0.25">
      <c r="A8" s="4" t="s">
        <v>13</v>
      </c>
      <c r="B8" s="6">
        <v>120</v>
      </c>
      <c r="C8" s="6">
        <v>120</v>
      </c>
      <c r="D8" s="6">
        <v>120</v>
      </c>
      <c r="E8" s="7" t="s">
        <v>14</v>
      </c>
    </row>
    <row r="9" spans="1:5" ht="15" customHeight="1" x14ac:dyDescent="0.25">
      <c r="A9" s="4" t="s">
        <v>15</v>
      </c>
      <c r="B9" s="5">
        <v>30</v>
      </c>
      <c r="C9" s="5">
        <v>80</v>
      </c>
      <c r="D9" s="6">
        <v>110</v>
      </c>
      <c r="E9" s="7" t="s">
        <v>16</v>
      </c>
    </row>
    <row r="10" spans="1:5" ht="15" customHeight="1" x14ac:dyDescent="0.25">
      <c r="A10" s="4" t="s">
        <v>17</v>
      </c>
      <c r="B10" s="6">
        <v>497</v>
      </c>
      <c r="C10" s="6">
        <v>497</v>
      </c>
      <c r="D10" s="6">
        <v>497</v>
      </c>
      <c r="E10" s="7" t="s">
        <v>18</v>
      </c>
    </row>
    <row r="11" spans="1:5" ht="15" customHeight="1" x14ac:dyDescent="0.25">
      <c r="A11" s="4" t="s">
        <v>19</v>
      </c>
      <c r="B11" s="5">
        <v>8</v>
      </c>
      <c r="C11" s="5">
        <v>35</v>
      </c>
      <c r="D11" s="5">
        <v>60</v>
      </c>
      <c r="E11" s="7" t="s">
        <v>20</v>
      </c>
    </row>
    <row r="12" spans="1:5" ht="15" customHeight="1" x14ac:dyDescent="0.25">
      <c r="A12" s="4" t="s">
        <v>21</v>
      </c>
      <c r="B12" s="6">
        <v>997</v>
      </c>
      <c r="C12" s="6">
        <v>997</v>
      </c>
      <c r="D12" s="6">
        <v>997</v>
      </c>
      <c r="E12" s="7" t="s">
        <v>22</v>
      </c>
    </row>
    <row r="13" spans="1:5" ht="15" customHeight="1" x14ac:dyDescent="0.25">
      <c r="A13" s="4" t="s">
        <v>23</v>
      </c>
      <c r="B13" s="5">
        <v>12</v>
      </c>
      <c r="C13" s="5">
        <v>40</v>
      </c>
      <c r="D13" s="5">
        <v>65</v>
      </c>
      <c r="E13" s="7" t="s">
        <v>24</v>
      </c>
    </row>
    <row r="14" spans="1:5" ht="15" customHeight="1" x14ac:dyDescent="0.25">
      <c r="A14" s="4" t="s">
        <v>25</v>
      </c>
      <c r="B14" s="6">
        <v>397</v>
      </c>
      <c r="C14" s="6">
        <v>397</v>
      </c>
      <c r="D14" s="6">
        <v>397</v>
      </c>
      <c r="E14" s="7" t="s">
        <v>22</v>
      </c>
    </row>
    <row r="15" spans="1:5" ht="15" customHeight="1" x14ac:dyDescent="0.25">
      <c r="A15" s="4" t="s">
        <v>26</v>
      </c>
      <c r="B15" s="5">
        <v>15</v>
      </c>
      <c r="C15" s="5">
        <v>45</v>
      </c>
      <c r="D15" s="5">
        <v>85</v>
      </c>
      <c r="E15" s="7" t="s">
        <v>27</v>
      </c>
    </row>
    <row r="16" spans="1:5" ht="15" customHeight="1" x14ac:dyDescent="0.25">
      <c r="A16" s="4" t="s">
        <v>28</v>
      </c>
      <c r="B16" s="6">
        <v>397</v>
      </c>
      <c r="C16" s="6">
        <v>397</v>
      </c>
      <c r="D16" s="6">
        <v>397</v>
      </c>
      <c r="E16" s="7" t="s">
        <v>29</v>
      </c>
    </row>
    <row r="17" spans="1:5" ht="15" customHeight="1" x14ac:dyDescent="0.25">
      <c r="A17" s="4" t="s">
        <v>30</v>
      </c>
      <c r="B17" s="5">
        <v>4</v>
      </c>
      <c r="C17" s="5">
        <v>12</v>
      </c>
      <c r="D17" s="5">
        <v>18</v>
      </c>
      <c r="E17" s="7" t="s">
        <v>31</v>
      </c>
    </row>
    <row r="18" spans="1:5" ht="15" customHeight="1" x14ac:dyDescent="0.25">
      <c r="A18" s="4" t="s">
        <v>32</v>
      </c>
      <c r="B18" s="6">
        <v>3500</v>
      </c>
      <c r="C18" s="6">
        <v>3500</v>
      </c>
      <c r="D18" s="6">
        <v>3500</v>
      </c>
      <c r="E18" s="7" t="s">
        <v>33</v>
      </c>
    </row>
    <row r="19" spans="1:5" ht="15" customHeight="1" x14ac:dyDescent="0.25">
      <c r="A19" s="4" t="s">
        <v>34</v>
      </c>
      <c r="B19" s="5">
        <v>8</v>
      </c>
      <c r="C19" s="5">
        <v>20</v>
      </c>
      <c r="D19" s="5">
        <v>32</v>
      </c>
      <c r="E19" s="7" t="s">
        <v>35</v>
      </c>
    </row>
    <row r="20" spans="1:5" ht="15" customHeight="1" x14ac:dyDescent="0.25">
      <c r="A20" s="4" t="s">
        <v>36</v>
      </c>
      <c r="B20" s="6">
        <v>950</v>
      </c>
      <c r="C20" s="6">
        <v>950</v>
      </c>
      <c r="D20" s="6">
        <v>950</v>
      </c>
      <c r="E20" s="7" t="s">
        <v>33</v>
      </c>
    </row>
    <row r="21" spans="1:5" ht="15" customHeight="1" x14ac:dyDescent="0.25">
      <c r="A21" s="4" t="s">
        <v>37</v>
      </c>
      <c r="B21" s="5">
        <v>5</v>
      </c>
      <c r="C21" s="5">
        <v>12</v>
      </c>
      <c r="D21" s="5">
        <v>20</v>
      </c>
      <c r="E21" s="7" t="s">
        <v>38</v>
      </c>
    </row>
    <row r="22" spans="1:5" ht="15" customHeight="1" x14ac:dyDescent="0.25">
      <c r="A22" s="4" t="s">
        <v>39</v>
      </c>
      <c r="B22" s="6">
        <v>1800</v>
      </c>
      <c r="C22" s="6">
        <v>1800</v>
      </c>
      <c r="D22" s="6">
        <v>1800</v>
      </c>
      <c r="E22" s="7" t="s">
        <v>33</v>
      </c>
    </row>
    <row r="23" spans="1:5" ht="15" customHeight="1" x14ac:dyDescent="0.25">
      <c r="A23" s="4" t="s">
        <v>40</v>
      </c>
      <c r="B23" s="5">
        <v>3</v>
      </c>
      <c r="C23" s="5">
        <v>5</v>
      </c>
      <c r="D23" s="5">
        <v>10</v>
      </c>
      <c r="E23" s="7" t="s">
        <v>41</v>
      </c>
    </row>
    <row r="24" spans="1:5" ht="15" customHeight="1" x14ac:dyDescent="0.25">
      <c r="A24" s="4" t="s">
        <v>42</v>
      </c>
      <c r="B24" s="6">
        <v>20000</v>
      </c>
      <c r="C24" s="6">
        <v>30000</v>
      </c>
      <c r="D24" s="6">
        <v>32000</v>
      </c>
      <c r="E24" s="7" t="s">
        <v>43</v>
      </c>
    </row>
    <row r="25" spans="1:5" ht="15" customHeight="1" x14ac:dyDescent="0.25">
      <c r="A25" s="4" t="s">
        <v>44</v>
      </c>
      <c r="B25" s="8">
        <v>0.2</v>
      </c>
      <c r="C25" s="8">
        <v>0.2</v>
      </c>
      <c r="D25" s="8">
        <v>0.2</v>
      </c>
      <c r="E25" s="7" t="s">
        <v>45</v>
      </c>
    </row>
    <row r="26" spans="1:5" ht="15" customHeight="1" x14ac:dyDescent="0.25">
      <c r="A26" s="4" t="s">
        <v>46</v>
      </c>
      <c r="B26" s="6">
        <v>3000</v>
      </c>
      <c r="C26" s="6">
        <v>16000</v>
      </c>
      <c r="D26" s="6">
        <v>38000</v>
      </c>
      <c r="E26" s="7" t="s">
        <v>47</v>
      </c>
    </row>
    <row r="27" spans="1:5" ht="15" customHeight="1" x14ac:dyDescent="0.25">
      <c r="A27" s="4" t="s">
        <v>48</v>
      </c>
      <c r="B27" s="6">
        <v>1000</v>
      </c>
      <c r="C27" s="6">
        <v>6000</v>
      </c>
      <c r="D27" s="6">
        <v>18000</v>
      </c>
      <c r="E27" s="7" t="s">
        <v>49</v>
      </c>
    </row>
    <row r="28" spans="1:5" ht="15" customHeight="1" x14ac:dyDescent="0.25">
      <c r="A28" s="3" t="s">
        <v>50</v>
      </c>
      <c r="B28" s="9"/>
      <c r="C28" s="9"/>
      <c r="D28" s="9"/>
      <c r="E28" s="9"/>
    </row>
    <row r="29" spans="1:5" ht="15" customHeight="1" x14ac:dyDescent="0.25">
      <c r="A29" s="4" t="s">
        <v>51</v>
      </c>
      <c r="B29" s="8">
        <v>0.06</v>
      </c>
      <c r="C29" s="8">
        <v>0.06</v>
      </c>
      <c r="D29" s="8">
        <v>0.06</v>
      </c>
      <c r="E29" s="7" t="s">
        <v>52</v>
      </c>
    </row>
    <row r="30" spans="1:5" ht="15" customHeight="1" x14ac:dyDescent="0.25">
      <c r="A30" s="4" t="s">
        <v>53</v>
      </c>
      <c r="B30" s="8">
        <v>0.04</v>
      </c>
      <c r="C30" s="8">
        <v>0.05</v>
      </c>
      <c r="D30" s="8">
        <v>0.05</v>
      </c>
      <c r="E30" s="7" t="s">
        <v>54</v>
      </c>
    </row>
    <row r="31" spans="1:5" ht="15" customHeight="1" x14ac:dyDescent="0.25">
      <c r="A31" s="4" t="s">
        <v>55</v>
      </c>
      <c r="B31" s="8">
        <v>0.4</v>
      </c>
      <c r="C31" s="8">
        <v>0.4</v>
      </c>
      <c r="D31" s="8">
        <v>0.4</v>
      </c>
      <c r="E31" s="7" t="s">
        <v>56</v>
      </c>
    </row>
    <row r="32" spans="1:5" ht="15" customHeight="1" x14ac:dyDescent="0.25">
      <c r="A32" s="4" t="s">
        <v>57</v>
      </c>
      <c r="B32" s="6">
        <v>500</v>
      </c>
      <c r="C32" s="6">
        <v>500</v>
      </c>
      <c r="D32" s="6">
        <v>500</v>
      </c>
      <c r="E32" s="7" t="s">
        <v>58</v>
      </c>
    </row>
    <row r="33" spans="1:5" ht="15" customHeight="1" x14ac:dyDescent="0.25">
      <c r="A33" s="4" t="s">
        <v>59</v>
      </c>
      <c r="B33" s="6">
        <v>800</v>
      </c>
      <c r="C33" s="6">
        <v>800</v>
      </c>
      <c r="D33" s="6">
        <v>800</v>
      </c>
      <c r="E33" s="7" t="s">
        <v>60</v>
      </c>
    </row>
    <row r="34" spans="1:5" ht="15" customHeight="1" x14ac:dyDescent="0.25">
      <c r="A34" s="4" t="s">
        <v>61</v>
      </c>
      <c r="B34" s="6">
        <v>4400</v>
      </c>
      <c r="C34" s="6">
        <v>5800</v>
      </c>
      <c r="D34" s="6">
        <v>7500</v>
      </c>
      <c r="E34" s="7" t="s">
        <v>62</v>
      </c>
    </row>
    <row r="35" spans="1:5" ht="15" customHeight="1" x14ac:dyDescent="0.25">
      <c r="A35" s="4" t="s">
        <v>63</v>
      </c>
      <c r="B35" s="6">
        <v>6000</v>
      </c>
      <c r="C35" s="6">
        <v>10000</v>
      </c>
      <c r="D35" s="6">
        <v>14000</v>
      </c>
      <c r="E35" s="7" t="s">
        <v>64</v>
      </c>
    </row>
    <row r="36" spans="1:5" ht="15" customHeight="1" x14ac:dyDescent="0.25">
      <c r="A36" s="3" t="s">
        <v>65</v>
      </c>
      <c r="B36" s="9"/>
      <c r="C36" s="9"/>
      <c r="D36" s="9"/>
      <c r="E36" s="9"/>
    </row>
    <row r="37" spans="1:5" ht="15" customHeight="1" x14ac:dyDescent="0.25">
      <c r="A37" s="4" t="s">
        <v>66</v>
      </c>
      <c r="B37" s="6">
        <v>4000</v>
      </c>
      <c r="C37" s="6">
        <v>12000</v>
      </c>
      <c r="D37" s="6">
        <v>22000</v>
      </c>
      <c r="E37" s="7" t="s">
        <v>67</v>
      </c>
    </row>
    <row r="38" spans="1:5" ht="15" customHeight="1" x14ac:dyDescent="0.25">
      <c r="A38" s="4" t="s">
        <v>245</v>
      </c>
      <c r="B38" s="6">
        <v>12000</v>
      </c>
      <c r="C38" s="6">
        <v>24000</v>
      </c>
      <c r="D38" s="6">
        <v>36000</v>
      </c>
      <c r="E38" s="7" t="s">
        <v>68</v>
      </c>
    </row>
    <row r="39" spans="1:5" ht="15" customHeight="1" x14ac:dyDescent="0.25">
      <c r="A39" s="4" t="s">
        <v>69</v>
      </c>
      <c r="B39" s="6">
        <v>3000</v>
      </c>
      <c r="C39" s="6">
        <v>7000</v>
      </c>
      <c r="D39" s="6">
        <v>9000</v>
      </c>
      <c r="E39" s="7" t="s">
        <v>70</v>
      </c>
    </row>
    <row r="40" spans="1:5" ht="15" customHeight="1" x14ac:dyDescent="0.25">
      <c r="A40" s="4" t="s">
        <v>71</v>
      </c>
      <c r="B40" s="6">
        <v>2000</v>
      </c>
      <c r="C40" s="6">
        <v>3000</v>
      </c>
      <c r="D40" s="6">
        <v>4000</v>
      </c>
      <c r="E40" s="7"/>
    </row>
    <row r="41" spans="1:5" ht="15" customHeight="1" x14ac:dyDescent="0.25">
      <c r="A41" s="4" t="s">
        <v>72</v>
      </c>
      <c r="B41" s="5">
        <v>0</v>
      </c>
      <c r="C41" s="6">
        <v>8000</v>
      </c>
      <c r="D41" s="6">
        <v>18000</v>
      </c>
      <c r="E41" s="7" t="s">
        <v>73</v>
      </c>
    </row>
    <row r="42" spans="1:5" ht="15" customHeight="1" x14ac:dyDescent="0.25">
      <c r="A42" s="3" t="s">
        <v>74</v>
      </c>
      <c r="B42" s="9"/>
      <c r="C42" s="9"/>
      <c r="D42" s="9"/>
      <c r="E42" s="9"/>
    </row>
    <row r="43" spans="1:5" ht="15" customHeight="1" x14ac:dyDescent="0.25">
      <c r="A43" s="4" t="s">
        <v>75</v>
      </c>
      <c r="B43" s="10">
        <v>0.1</v>
      </c>
      <c r="C43" s="10">
        <v>0.1</v>
      </c>
      <c r="D43" s="10">
        <v>0.1</v>
      </c>
      <c r="E43" s="7" t="s">
        <v>76</v>
      </c>
    </row>
    <row r="44" spans="1:5" ht="15" customHeight="1" x14ac:dyDescent="0.25">
      <c r="A44" s="4" t="s">
        <v>77</v>
      </c>
      <c r="B44" s="10">
        <v>0.15</v>
      </c>
      <c r="C44" s="10">
        <v>0.15</v>
      </c>
      <c r="D44" s="10">
        <v>0.15</v>
      </c>
      <c r="E44" s="7" t="s">
        <v>78</v>
      </c>
    </row>
    <row r="45" spans="1:5" ht="15" customHeight="1" x14ac:dyDescent="0.25">
      <c r="A45" s="4" t="s">
        <v>79</v>
      </c>
      <c r="B45" s="6">
        <v>3000</v>
      </c>
      <c r="C45" s="6">
        <v>1500</v>
      </c>
      <c r="D45" s="6">
        <v>1500</v>
      </c>
      <c r="E45" s="7" t="s">
        <v>80</v>
      </c>
    </row>
    <row r="46" spans="1:5" ht="15" customHeight="1" x14ac:dyDescent="0.25">
      <c r="A46" s="4" t="s">
        <v>81</v>
      </c>
      <c r="B46" s="6">
        <v>12000</v>
      </c>
      <c r="C46" s="6">
        <v>12000</v>
      </c>
      <c r="D46" s="6">
        <v>12000</v>
      </c>
      <c r="E46" s="7" t="s">
        <v>82</v>
      </c>
    </row>
    <row r="47" spans="1:5" ht="15" customHeight="1" x14ac:dyDescent="0.25">
      <c r="A47" s="4" t="s">
        <v>83</v>
      </c>
      <c r="B47" s="8">
        <v>0.35</v>
      </c>
      <c r="C47" s="8">
        <v>0.35</v>
      </c>
      <c r="D47" s="8">
        <v>0.35</v>
      </c>
      <c r="E47" s="7" t="s">
        <v>84</v>
      </c>
    </row>
    <row r="48" spans="1:5" ht="15" customHeight="1" x14ac:dyDescent="0.25">
      <c r="A48" s="4" t="s">
        <v>85</v>
      </c>
      <c r="B48" s="8">
        <v>0.05</v>
      </c>
      <c r="C48" s="8">
        <v>0.05</v>
      </c>
      <c r="D48" s="8">
        <v>0.05</v>
      </c>
      <c r="E48" s="7" t="s">
        <v>86</v>
      </c>
    </row>
    <row r="49" spans="1:5" ht="15" customHeight="1" x14ac:dyDescent="0.25">
      <c r="A49" s="4" t="s">
        <v>87</v>
      </c>
      <c r="B49" s="8">
        <v>0.04</v>
      </c>
      <c r="C49" s="8">
        <v>0.04</v>
      </c>
      <c r="D49" s="8">
        <v>0.04</v>
      </c>
      <c r="E49" s="7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15" zoomScaleNormal="100" workbookViewId="0">
      <selection activeCell="K29" sqref="K29"/>
    </sheetView>
  </sheetViews>
  <sheetFormatPr defaultColWidth="8.7109375" defaultRowHeight="15" x14ac:dyDescent="0.25"/>
  <cols>
    <col min="1" max="1" width="46" customWidth="1"/>
    <col min="2" max="2" width="13" customWidth="1"/>
    <col min="3" max="3" width="9" customWidth="1"/>
    <col min="4" max="4" width="13" customWidth="1"/>
    <col min="5" max="6" width="9" customWidth="1"/>
    <col min="7" max="7" width="13" customWidth="1"/>
    <col min="8" max="9" width="9" customWidth="1"/>
  </cols>
  <sheetData>
    <row r="1" spans="1:9" ht="15.75" customHeight="1" x14ac:dyDescent="0.25">
      <c r="A1" s="1" t="s">
        <v>89</v>
      </c>
    </row>
    <row r="3" spans="1:9" ht="15" customHeight="1" x14ac:dyDescent="0.25">
      <c r="A3" s="11"/>
      <c r="B3" s="11" t="s">
        <v>3</v>
      </c>
      <c r="C3" s="11" t="s">
        <v>90</v>
      </c>
      <c r="D3" s="11" t="s">
        <v>4</v>
      </c>
      <c r="E3" s="11" t="s">
        <v>90</v>
      </c>
      <c r="F3" s="11" t="s">
        <v>91</v>
      </c>
      <c r="G3" s="11" t="s">
        <v>5</v>
      </c>
      <c r="H3" s="11" t="s">
        <v>90</v>
      </c>
      <c r="I3" s="11" t="s">
        <v>91</v>
      </c>
    </row>
    <row r="4" spans="1:9" ht="15" customHeight="1" x14ac:dyDescent="0.25">
      <c r="A4" s="3" t="s">
        <v>92</v>
      </c>
      <c r="B4" s="9"/>
      <c r="C4" s="9"/>
      <c r="D4" s="9"/>
      <c r="E4" s="9"/>
      <c r="F4" s="9"/>
      <c r="G4" s="9"/>
      <c r="H4" s="9"/>
      <c r="I4" s="9"/>
    </row>
    <row r="5" spans="1:9" ht="15" customHeight="1" x14ac:dyDescent="0.25">
      <c r="A5" s="4" t="s">
        <v>93</v>
      </c>
      <c r="B5" s="12">
        <f>Premissas!B5*Premissas!B6</f>
        <v>48000</v>
      </c>
      <c r="C5" s="13">
        <f>IF(B19=0,0,B5/B19)</f>
        <v>0.3803953734412705</v>
      </c>
      <c r="D5" s="12">
        <f>Premissas!C5*Premissas!C6</f>
        <v>180000</v>
      </c>
      <c r="E5" s="13">
        <f>IF(D19=0,0,D5/D19)</f>
        <v>0.44150110375275936</v>
      </c>
      <c r="F5" s="14">
        <f t="shared" ref="F5:F19" si="0">IF(B5=0,0,(D5-B5)/ABS(B5))</f>
        <v>2.75</v>
      </c>
      <c r="G5" s="12">
        <f>Premissas!D5*Premissas!D6</f>
        <v>348000</v>
      </c>
      <c r="H5" s="13">
        <f>IF(G19=0,0,G5/G19)</f>
        <v>0.47186696605812101</v>
      </c>
      <c r="I5" s="14">
        <f t="shared" ref="I5:I19" si="1">IF(D5=0,0,(G5-D5)/ABS(D5))</f>
        <v>0.93333333333333335</v>
      </c>
    </row>
    <row r="6" spans="1:9" ht="15" customHeight="1" x14ac:dyDescent="0.25">
      <c r="A6" s="4" t="s">
        <v>94</v>
      </c>
      <c r="B6" s="12">
        <f>Premissas!B7*Premissas!B8</f>
        <v>12000</v>
      </c>
      <c r="C6" s="13">
        <f>IF(B19=0,0,B6/B19)</f>
        <v>9.5098843360317625E-2</v>
      </c>
      <c r="D6" s="12">
        <f>Premissas!C7*Premissas!C8</f>
        <v>30000</v>
      </c>
      <c r="E6" s="13">
        <f>IF(D19=0,0,D6/D19)</f>
        <v>7.358351729212656E-2</v>
      </c>
      <c r="F6" s="14">
        <f t="shared" si="0"/>
        <v>1.5</v>
      </c>
      <c r="G6" s="12">
        <f>Premissas!D7*Premissas!D8</f>
        <v>48000</v>
      </c>
      <c r="H6" s="13">
        <f>IF(G19=0,0,G6/G19)</f>
        <v>6.5085098766637373E-2</v>
      </c>
      <c r="I6" s="14">
        <f t="shared" si="1"/>
        <v>0.6</v>
      </c>
    </row>
    <row r="7" spans="1:9" ht="15" customHeight="1" x14ac:dyDescent="0.25">
      <c r="A7" s="4" t="s">
        <v>95</v>
      </c>
      <c r="B7" s="12">
        <f>Premissas!B9*Premissas!B10</f>
        <v>14910</v>
      </c>
      <c r="C7" s="13">
        <f>IF(B19=0,0,B7/B19)</f>
        <v>0.11816031287519466</v>
      </c>
      <c r="D7" s="12">
        <f>Premissas!C9*Premissas!C10</f>
        <v>39760</v>
      </c>
      <c r="E7" s="13">
        <f>IF(D19=0,0,D7/D19)</f>
        <v>9.7522688251165071E-2</v>
      </c>
      <c r="F7" s="14">
        <f t="shared" si="0"/>
        <v>1.6666666666666667</v>
      </c>
      <c r="G7" s="12">
        <f>Premissas!D9*Premissas!D10</f>
        <v>54670</v>
      </c>
      <c r="H7" s="13">
        <f>IF(G19=0,0,G7/G19)</f>
        <v>7.4129215616084695E-2</v>
      </c>
      <c r="I7" s="14">
        <f t="shared" si="1"/>
        <v>0.375</v>
      </c>
    </row>
    <row r="8" spans="1:9" ht="15" customHeight="1" x14ac:dyDescent="0.25">
      <c r="A8" s="4" t="s">
        <v>96</v>
      </c>
      <c r="B8" s="12">
        <f>Premissas!B11*Premissas!B12</f>
        <v>7976</v>
      </c>
      <c r="C8" s="13">
        <f>IF(B19=0,0,B8/B19)</f>
        <v>6.320903122015778E-2</v>
      </c>
      <c r="D8" s="12">
        <f>Premissas!C11*Premissas!C12</f>
        <v>34895</v>
      </c>
      <c r="E8" s="13">
        <f>IF(D19=0,0,D8/D19)</f>
        <v>8.558989453029188E-2</v>
      </c>
      <c r="F8" s="14">
        <f t="shared" si="0"/>
        <v>3.375</v>
      </c>
      <c r="G8" s="12">
        <f>Premissas!D11*Premissas!D12</f>
        <v>59820</v>
      </c>
      <c r="H8" s="13">
        <f>IF(G19=0,0,G8/G19)</f>
        <v>8.1112304337921839E-2</v>
      </c>
      <c r="I8" s="14">
        <f t="shared" si="1"/>
        <v>0.7142857142857143</v>
      </c>
    </row>
    <row r="9" spans="1:9" ht="15" customHeight="1" x14ac:dyDescent="0.25">
      <c r="A9" s="4" t="s">
        <v>97</v>
      </c>
      <c r="B9" s="12">
        <f>Premissas!B13*Premissas!B14</f>
        <v>4764</v>
      </c>
      <c r="C9" s="13">
        <f>IF(B19=0,0,B9/B19)</f>
        <v>3.7754240814046096E-2</v>
      </c>
      <c r="D9" s="12">
        <f>Premissas!C13*Premissas!C14</f>
        <v>15880</v>
      </c>
      <c r="E9" s="13">
        <f>IF(D19=0,0,D9/D19)</f>
        <v>3.8950208486632325E-2</v>
      </c>
      <c r="F9" s="14">
        <f t="shared" si="0"/>
        <v>2.3333333333333335</v>
      </c>
      <c r="G9" s="12">
        <f>Premissas!D13*Premissas!D14</f>
        <v>25805</v>
      </c>
      <c r="H9" s="13">
        <f>IF(G19=0,0,G9/G19)</f>
        <v>3.4990020284855781E-2</v>
      </c>
      <c r="I9" s="14">
        <f t="shared" si="1"/>
        <v>0.625</v>
      </c>
    </row>
    <row r="10" spans="1:9" ht="15" customHeight="1" x14ac:dyDescent="0.25">
      <c r="A10" s="4" t="s">
        <v>98</v>
      </c>
      <c r="B10" s="12">
        <f>Premissas!B15*Premissas!B16</f>
        <v>5955</v>
      </c>
      <c r="C10" s="13">
        <f>IF(B19=0,0,B10/B19)</f>
        <v>4.7192801017557622E-2</v>
      </c>
      <c r="D10" s="12">
        <f>Premissas!C15*Premissas!C16</f>
        <v>17865</v>
      </c>
      <c r="E10" s="13">
        <f>IF(D19=0,0,D10/D19)</f>
        <v>4.3818984547461366E-2</v>
      </c>
      <c r="F10" s="14">
        <f t="shared" si="0"/>
        <v>2</v>
      </c>
      <c r="G10" s="12">
        <f>Premissas!D15*Premissas!D16</f>
        <v>33745</v>
      </c>
      <c r="H10" s="13">
        <f>IF(G19=0,0,G10/G19)</f>
        <v>4.5756180372503716E-2</v>
      </c>
      <c r="I10" s="14">
        <f t="shared" si="1"/>
        <v>0.88888888888888884</v>
      </c>
    </row>
    <row r="11" spans="1:9" ht="15" customHeight="1" x14ac:dyDescent="0.25">
      <c r="A11" s="4" t="s">
        <v>99</v>
      </c>
      <c r="B11" s="12">
        <f>Premissas!B17*Premissas!B18</f>
        <v>14000</v>
      </c>
      <c r="C11" s="13">
        <f>IF(B19=0,0,B11/B19)</f>
        <v>0.11094865058703723</v>
      </c>
      <c r="D11" s="12">
        <f>Premissas!C17*Premissas!C18</f>
        <v>42000</v>
      </c>
      <c r="E11" s="13">
        <f>IF(D19=0,0,D11/D19)</f>
        <v>0.10301692420897719</v>
      </c>
      <c r="F11" s="14">
        <f t="shared" si="0"/>
        <v>2</v>
      </c>
      <c r="G11" s="12">
        <f>Premissas!D17*Premissas!D18</f>
        <v>63000</v>
      </c>
      <c r="H11" s="13">
        <f>IF(G19=0,0,G11/G19)</f>
        <v>8.5424192131211565E-2</v>
      </c>
      <c r="I11" s="14">
        <f t="shared" si="1"/>
        <v>0.5</v>
      </c>
    </row>
    <row r="12" spans="1:9" ht="15" customHeight="1" x14ac:dyDescent="0.25">
      <c r="A12" s="4" t="s">
        <v>100</v>
      </c>
      <c r="B12" s="12">
        <f>Premissas!B19*Premissas!B20</f>
        <v>7600</v>
      </c>
      <c r="C12" s="13">
        <f>IF(B19=0,0,B12/B19)</f>
        <v>6.0229267461534501E-2</v>
      </c>
      <c r="D12" s="12">
        <f>Premissas!C19*Premissas!C20</f>
        <v>19000</v>
      </c>
      <c r="E12" s="13">
        <f>IF(D19=0,0,D12/D19)</f>
        <v>4.6602894285013491E-2</v>
      </c>
      <c r="F12" s="14">
        <f t="shared" si="0"/>
        <v>1.5</v>
      </c>
      <c r="G12" s="12">
        <f>Premissas!D19*Premissas!D20</f>
        <v>30400</v>
      </c>
      <c r="H12" s="13">
        <f>IF(G19=0,0,G12/G19)</f>
        <v>4.1220562552203674E-2</v>
      </c>
      <c r="I12" s="14">
        <f t="shared" si="1"/>
        <v>0.6</v>
      </c>
    </row>
    <row r="13" spans="1:9" ht="15" customHeight="1" x14ac:dyDescent="0.25">
      <c r="A13" s="4" t="s">
        <v>101</v>
      </c>
      <c r="B13" s="12">
        <f>Premissas!B21*Premissas!B22</f>
        <v>9000</v>
      </c>
      <c r="C13" s="13">
        <f>IF(B19=0,0,B13/B19)</f>
        <v>7.1324132520238226E-2</v>
      </c>
      <c r="D13" s="12">
        <f>Premissas!C21*Premissas!C22</f>
        <v>21600</v>
      </c>
      <c r="E13" s="13">
        <f>IF(D19=0,0,D13/D19)</f>
        <v>5.2980132450331126E-2</v>
      </c>
      <c r="F13" s="14">
        <f t="shared" si="0"/>
        <v>1.4</v>
      </c>
      <c r="G13" s="12">
        <f>Premissas!D21*Premissas!D22</f>
        <v>36000</v>
      </c>
      <c r="H13" s="13">
        <f>IF(G19=0,0,G13/G19)</f>
        <v>4.8813824074978036E-2</v>
      </c>
      <c r="I13" s="14">
        <f t="shared" si="1"/>
        <v>0.66666666666666663</v>
      </c>
    </row>
    <row r="14" spans="1:9" ht="15" customHeight="1" x14ac:dyDescent="0.25">
      <c r="A14" s="4" t="s">
        <v>102</v>
      </c>
      <c r="B14" s="12">
        <f>Premissas!B23*Premissas!B24*Premissas!B25</f>
        <v>12000</v>
      </c>
      <c r="C14" s="13">
        <f>IF(B19=0,0,B14/B19)</f>
        <v>9.5098843360317625E-2</v>
      </c>
      <c r="D14" s="12">
        <f>Premissas!C23*Premissas!C24*Premissas!C25</f>
        <v>30000</v>
      </c>
      <c r="E14" s="13">
        <f>IF(D19=0,0,D14/D19)</f>
        <v>7.358351729212656E-2</v>
      </c>
      <c r="F14" s="14">
        <f t="shared" si="0"/>
        <v>1.5</v>
      </c>
      <c r="G14" s="12">
        <f>Premissas!D23*Premissas!D24*Premissas!D25</f>
        <v>64000</v>
      </c>
      <c r="H14" s="13">
        <f>IF(G19=0,0,G14/G19)</f>
        <v>8.6780131688849835E-2</v>
      </c>
      <c r="I14" s="14">
        <f t="shared" si="1"/>
        <v>1.1333333333333333</v>
      </c>
    </row>
    <row r="15" spans="1:9" ht="15" customHeight="1" x14ac:dyDescent="0.25">
      <c r="A15" s="4" t="s">
        <v>103</v>
      </c>
      <c r="B15" s="12">
        <f>Premissas!B26</f>
        <v>3000</v>
      </c>
      <c r="C15" s="13">
        <f>IF(B19=0,0,B15/B19)</f>
        <v>2.3774710840079406E-2</v>
      </c>
      <c r="D15" s="12">
        <f>Premissas!C26</f>
        <v>16000</v>
      </c>
      <c r="E15" s="13">
        <f>IF(D19=0,0,D15/D19)</f>
        <v>3.9244542555800836E-2</v>
      </c>
      <c r="F15" s="14">
        <f t="shared" si="0"/>
        <v>4.333333333333333</v>
      </c>
      <c r="G15" s="12">
        <f>Premissas!D26</f>
        <v>38000</v>
      </c>
      <c r="H15" s="13">
        <f>IF(G19=0,0,G15/G19)</f>
        <v>5.1525703190254589E-2</v>
      </c>
      <c r="I15" s="14">
        <f t="shared" si="1"/>
        <v>1.375</v>
      </c>
    </row>
    <row r="16" spans="1:9" ht="15" customHeight="1" x14ac:dyDescent="0.25">
      <c r="A16" s="4" t="s">
        <v>104</v>
      </c>
      <c r="B16" s="12">
        <f>Premissas!B27</f>
        <v>1000</v>
      </c>
      <c r="C16" s="13">
        <f>IF(B19=0,0,B16/B19)</f>
        <v>7.9249036133598027E-3</v>
      </c>
      <c r="D16" s="12">
        <f>Premissas!C27</f>
        <v>6000</v>
      </c>
      <c r="E16" s="13">
        <f>IF(D19=0,0,D16/D19)</f>
        <v>1.4716703458425313E-2</v>
      </c>
      <c r="F16" s="14">
        <f t="shared" si="0"/>
        <v>5</v>
      </c>
      <c r="G16" s="12">
        <f>Premissas!D27</f>
        <v>18000</v>
      </c>
      <c r="H16" s="13">
        <f>IF(G19=0,0,G16/G19)</f>
        <v>2.4406912037489018E-2</v>
      </c>
      <c r="I16" s="14">
        <f t="shared" si="1"/>
        <v>2</v>
      </c>
    </row>
    <row r="17" spans="1:11" ht="15" customHeight="1" x14ac:dyDescent="0.25">
      <c r="A17" s="15" t="s">
        <v>105</v>
      </c>
      <c r="B17" s="16">
        <f>SUM(B5:B16)</f>
        <v>140205</v>
      </c>
      <c r="C17" s="17">
        <f>IF(B19=0,0,B17/B19)</f>
        <v>1.1111111111111112</v>
      </c>
      <c r="D17" s="16">
        <f>SUM(D5:D16)</f>
        <v>453000</v>
      </c>
      <c r="E17" s="17">
        <f>IF(D19=0,0,D17/D19)</f>
        <v>1.1111111111111112</v>
      </c>
      <c r="F17" s="18">
        <f t="shared" si="0"/>
        <v>2.2309832031667916</v>
      </c>
      <c r="G17" s="16">
        <f>SUM(G5:G16)</f>
        <v>819440</v>
      </c>
      <c r="H17" s="17">
        <f>IF(G19=0,0,G17/G19)</f>
        <v>1.1111111111111112</v>
      </c>
      <c r="I17" s="18">
        <f t="shared" si="1"/>
        <v>0.80891832229580574</v>
      </c>
    </row>
    <row r="18" spans="1:11" ht="15" customHeight="1" x14ac:dyDescent="0.25">
      <c r="A18" s="4" t="s">
        <v>106</v>
      </c>
      <c r="B18" s="12">
        <f>-B17*Premissas!B43</f>
        <v>-14020.5</v>
      </c>
      <c r="C18" s="13">
        <f>IF(B19=0,0,B18/B19)</f>
        <v>-0.1111111111111111</v>
      </c>
      <c r="D18" s="12">
        <f>-D17*Premissas!C43</f>
        <v>-45300</v>
      </c>
      <c r="E18" s="13">
        <f>IF(D19=0,0,D18/D19)</f>
        <v>-0.1111111111111111</v>
      </c>
      <c r="F18" s="14">
        <f t="shared" si="0"/>
        <v>-2.2309832031667916</v>
      </c>
      <c r="G18" s="12">
        <f>-G17*Premissas!D43</f>
        <v>-81944</v>
      </c>
      <c r="H18" s="13">
        <f>IF(G19=0,0,G18/G19)</f>
        <v>-0.1111111111111111</v>
      </c>
      <c r="I18" s="14">
        <f t="shared" si="1"/>
        <v>-0.80891832229580574</v>
      </c>
    </row>
    <row r="19" spans="1:11" ht="15" customHeight="1" x14ac:dyDescent="0.25">
      <c r="A19" s="15" t="s">
        <v>107</v>
      </c>
      <c r="B19" s="16">
        <f>B17+B18</f>
        <v>126184.5</v>
      </c>
      <c r="C19" s="17">
        <f>IF(B19=0,0,B19/B19)</f>
        <v>1</v>
      </c>
      <c r="D19" s="16">
        <f>D17+D18</f>
        <v>407700</v>
      </c>
      <c r="E19" s="17">
        <f>IF(D19=0,0,D19/D19)</f>
        <v>1</v>
      </c>
      <c r="F19" s="18">
        <f t="shared" si="0"/>
        <v>2.2309832031667916</v>
      </c>
      <c r="G19" s="16">
        <f>G17+G18</f>
        <v>737496</v>
      </c>
      <c r="H19" s="17">
        <f>IF(G19=0,0,G19/G19)</f>
        <v>1</v>
      </c>
      <c r="I19" s="18">
        <f t="shared" si="1"/>
        <v>0.80891832229580574</v>
      </c>
    </row>
    <row r="20" spans="1:11" ht="15" customHeight="1" x14ac:dyDescent="0.25">
      <c r="A20" s="3" t="s">
        <v>108</v>
      </c>
      <c r="B20" s="9"/>
      <c r="C20" s="9"/>
      <c r="D20" s="9"/>
      <c r="E20" s="9"/>
      <c r="F20" s="9"/>
      <c r="G20" s="9"/>
      <c r="H20" s="9"/>
      <c r="I20" s="9"/>
    </row>
    <row r="21" spans="1:11" ht="15" customHeight="1" x14ac:dyDescent="0.25">
      <c r="A21" s="4" t="s">
        <v>109</v>
      </c>
      <c r="B21" s="12">
        <f>-SUM(B5:B10)*Premissas!B29</f>
        <v>-5616.3</v>
      </c>
      <c r="C21" s="13">
        <f>IF(B19=0,0,B21/B19)</f>
        <v>-4.4508636163712659E-2</v>
      </c>
      <c r="D21" s="12">
        <f>-SUM(D5:D10)*Premissas!C29</f>
        <v>-19104</v>
      </c>
      <c r="E21" s="13">
        <f>IF(D19=0,0,D21/D19)</f>
        <v>-4.6857983811626196E-2</v>
      </c>
      <c r="F21" s="14">
        <f t="shared" ref="F21:F28" si="2">IF(B21=0,0,(D21-B21)/ABS(B21))</f>
        <v>-2.4015276961700764</v>
      </c>
      <c r="G21" s="12">
        <f>-SUM(G5:G10)*Premissas!D29</f>
        <v>-34202.400000000001</v>
      </c>
      <c r="H21" s="13">
        <f>IF(G19=0,0,G21/G19)</f>
        <v>-4.6376387126167463E-2</v>
      </c>
      <c r="I21" s="14">
        <f t="shared" ref="I21:I28" si="3">IF(D21=0,0,(G21-D21)/ABS(D21))</f>
        <v>-0.79032663316582918</v>
      </c>
    </row>
    <row r="22" spans="1:11" ht="15" customHeight="1" x14ac:dyDescent="0.25">
      <c r="A22" s="4" t="s">
        <v>110</v>
      </c>
      <c r="B22" s="12">
        <f>-SUM(B5:B10)*Premissas!B30</f>
        <v>-3744.2000000000003</v>
      </c>
      <c r="C22" s="13">
        <f>IF(B19=0,0,B22/B19)</f>
        <v>-2.9672424109141775E-2</v>
      </c>
      <c r="D22" s="12">
        <f>-SUM(D5:D10)*Premissas!C30</f>
        <v>-15920</v>
      </c>
      <c r="E22" s="13">
        <f>IF(D19=0,0,D22/D19)</f>
        <v>-3.9048319843021831E-2</v>
      </c>
      <c r="F22" s="14">
        <f t="shared" si="2"/>
        <v>-3.251909620212595</v>
      </c>
      <c r="G22" s="12">
        <f>-SUM(G5:G10)*Premissas!D30</f>
        <v>-28502</v>
      </c>
      <c r="H22" s="13">
        <f>IF(G19=0,0,G22/G19)</f>
        <v>-3.8646989271806223E-2</v>
      </c>
      <c r="I22" s="14">
        <f t="shared" si="3"/>
        <v>-0.79032663316582918</v>
      </c>
    </row>
    <row r="23" spans="1:11" ht="15" customHeight="1" x14ac:dyDescent="0.25">
      <c r="A23" s="4" t="s">
        <v>111</v>
      </c>
      <c r="B23" s="12">
        <f>-(B11+B12+B13+B14)*Premissas!B31</f>
        <v>-17040</v>
      </c>
      <c r="C23" s="13">
        <f>IF(B19=0,0,B23/B19)</f>
        <v>-0.13504035757165103</v>
      </c>
      <c r="D23" s="12">
        <f>-(D11+D12+D13+D14)*Premissas!C31</f>
        <v>-45040</v>
      </c>
      <c r="E23" s="13">
        <f>IF(D19=0,0,D23/D19)</f>
        <v>-0.11047338729457935</v>
      </c>
      <c r="F23" s="14">
        <f t="shared" si="2"/>
        <v>-1.6431924882629108</v>
      </c>
      <c r="G23" s="12">
        <f>-(G11+G12+G13+G14)*Premissas!D31</f>
        <v>-77360</v>
      </c>
      <c r="H23" s="13">
        <f>IF(G19=0,0,G23/G19)</f>
        <v>-0.10489548417889724</v>
      </c>
      <c r="I23" s="14">
        <f t="shared" si="3"/>
        <v>-0.71758436944937831</v>
      </c>
    </row>
    <row r="24" spans="1:11" ht="15" customHeight="1" x14ac:dyDescent="0.25">
      <c r="A24" s="4" t="s">
        <v>112</v>
      </c>
      <c r="B24" s="12">
        <f>-(Premissas!B19*Premissas!B32+Premissas!B21*Premissas!B33)</f>
        <v>-8000</v>
      </c>
      <c r="C24" s="13">
        <f>IF(B19=0,0,B24/B19)</f>
        <v>-6.3399228906878421E-2</v>
      </c>
      <c r="D24" s="12">
        <f>-(Premissas!C19*Premissas!C32+Premissas!C21*Premissas!C33)</f>
        <v>-19600</v>
      </c>
      <c r="E24" s="13">
        <f>IF(D19=0,0,D24/D19)</f>
        <v>-4.807456463085602E-2</v>
      </c>
      <c r="F24" s="14">
        <f t="shared" si="2"/>
        <v>-1.45</v>
      </c>
      <c r="G24" s="12">
        <f>-(Premissas!D19*Premissas!D32+Premissas!D21*Premissas!D33)</f>
        <v>-32000</v>
      </c>
      <c r="H24" s="13">
        <f>IF(G19=0,0,G24/G19)</f>
        <v>-4.3390065844424917E-2</v>
      </c>
      <c r="I24" s="14">
        <f t="shared" si="3"/>
        <v>-0.63265306122448983</v>
      </c>
    </row>
    <row r="25" spans="1:11" ht="15" customHeight="1" x14ac:dyDescent="0.25">
      <c r="A25" s="4" t="s">
        <v>113</v>
      </c>
      <c r="B25" s="12">
        <f>-Premissas!B34</f>
        <v>-4400</v>
      </c>
      <c r="C25" s="13">
        <f>IF(B19=0,0,B25/B19)</f>
        <v>-3.4869575898783131E-2</v>
      </c>
      <c r="D25" s="12">
        <f>-Premissas!C34</f>
        <v>-5800</v>
      </c>
      <c r="E25" s="13">
        <f>IF(D19=0,0,D25/D19)</f>
        <v>-1.4226146676477803E-2</v>
      </c>
      <c r="F25" s="14">
        <f t="shared" si="2"/>
        <v>-0.31818181818181818</v>
      </c>
      <c r="G25" s="12">
        <f>-Premissas!D34</f>
        <v>-7500</v>
      </c>
      <c r="H25" s="13">
        <f>IF(G19=0,0,G25/G19)</f>
        <v>-1.0169546682287091E-2</v>
      </c>
      <c r="I25" s="14">
        <f t="shared" si="3"/>
        <v>-0.29310344827586204</v>
      </c>
    </row>
    <row r="26" spans="1:11" ht="15" customHeight="1" x14ac:dyDescent="0.25">
      <c r="A26" s="4" t="s">
        <v>114</v>
      </c>
      <c r="B26" s="12">
        <f>-Premissas!B35</f>
        <v>-6000</v>
      </c>
      <c r="C26" s="13">
        <f>IF(B19=0,0,B26/B19)</f>
        <v>-4.7549421680158813E-2</v>
      </c>
      <c r="D26" s="12">
        <f>-Premissas!C35</f>
        <v>-10000</v>
      </c>
      <c r="E26" s="13">
        <f>IF(D19=0,0,D26/D19)</f>
        <v>-2.452783909737552E-2</v>
      </c>
      <c r="F26" s="14">
        <f t="shared" si="2"/>
        <v>-0.66666666666666663</v>
      </c>
      <c r="G26" s="12">
        <f>-Premissas!D35</f>
        <v>-14000</v>
      </c>
      <c r="H26" s="13">
        <f>IF(G19=0,0,G26/G19)</f>
        <v>-1.8983153806935903E-2</v>
      </c>
      <c r="I26" s="14">
        <f t="shared" si="3"/>
        <v>-0.4</v>
      </c>
    </row>
    <row r="27" spans="1:11" ht="15" customHeight="1" x14ac:dyDescent="0.25">
      <c r="A27" s="15" t="s">
        <v>115</v>
      </c>
      <c r="B27" s="16">
        <f>SUM(B21:B26)</f>
        <v>-44800.5</v>
      </c>
      <c r="C27" s="17">
        <f>IF(B19=0,0,B27/B19)</f>
        <v>-0.35503964433032581</v>
      </c>
      <c r="D27" s="16">
        <f>SUM(D21:D26)</f>
        <v>-115464</v>
      </c>
      <c r="E27" s="17">
        <f>IF(D19=0,0,D27/D19)</f>
        <v>-0.28320824135393674</v>
      </c>
      <c r="F27" s="18">
        <f t="shared" si="2"/>
        <v>-1.5772926641443734</v>
      </c>
      <c r="G27" s="16">
        <f>SUM(G21:G26)</f>
        <v>-193564.4</v>
      </c>
      <c r="H27" s="17">
        <f>IF(G19=0,0,G27/G19)</f>
        <v>-0.26246162691051883</v>
      </c>
      <c r="I27" s="18">
        <f t="shared" si="3"/>
        <v>-0.67640476685373796</v>
      </c>
    </row>
    <row r="28" spans="1:11" ht="15" customHeight="1" x14ac:dyDescent="0.25">
      <c r="A28" s="15" t="s">
        <v>116</v>
      </c>
      <c r="B28" s="16">
        <f>B19+B27</f>
        <v>81384</v>
      </c>
      <c r="C28" s="17">
        <f>IF(B19=0,0,B28/B19)</f>
        <v>0.64496035566967413</v>
      </c>
      <c r="D28" s="16">
        <f>D19+D27</f>
        <v>292236</v>
      </c>
      <c r="E28" s="17">
        <f>IF(D19=0,0,D28/D19)</f>
        <v>0.71679175864606326</v>
      </c>
      <c r="F28" s="18">
        <f t="shared" si="2"/>
        <v>2.5908286641108815</v>
      </c>
      <c r="G28" s="16">
        <f>G19+G27</f>
        <v>543931.6</v>
      </c>
      <c r="H28" s="17">
        <f>IF(G19=0,0,G28/G19)</f>
        <v>0.73753837308948111</v>
      </c>
      <c r="I28" s="18">
        <f t="shared" si="3"/>
        <v>0.86127513379597309</v>
      </c>
    </row>
    <row r="29" spans="1:11" ht="15" customHeight="1" x14ac:dyDescent="0.25">
      <c r="A29" s="3" t="s">
        <v>65</v>
      </c>
      <c r="B29" s="9"/>
      <c r="C29" s="9"/>
      <c r="D29" s="9"/>
      <c r="E29" s="9"/>
      <c r="F29" s="9"/>
      <c r="G29" s="9"/>
      <c r="H29" s="9"/>
      <c r="I29" s="9"/>
    </row>
    <row r="30" spans="1:11" ht="15" customHeight="1" x14ac:dyDescent="0.25">
      <c r="A30" s="4" t="s">
        <v>117</v>
      </c>
      <c r="B30" s="12">
        <f>-Premissas!B37</f>
        <v>-4000</v>
      </c>
      <c r="C30" s="13">
        <f>IF(B19=0,0,B30/B19)</f>
        <v>-3.1699614453439211E-2</v>
      </c>
      <c r="D30" s="12">
        <f>-Premissas!C37</f>
        <v>-12000</v>
      </c>
      <c r="E30" s="13">
        <f>IF(D19=0,0,D30/D19)</f>
        <v>-2.9433406916850625E-2</v>
      </c>
      <c r="F30" s="14">
        <f t="shared" ref="F30:F42" si="4">IF(B30=0,0,(D30-B30)/ABS(B30))</f>
        <v>-2</v>
      </c>
      <c r="G30" s="12">
        <f>-Premissas!D37</f>
        <v>-22000</v>
      </c>
      <c r="H30" s="13">
        <f>IF(G19=0,0,G30/G19)</f>
        <v>-2.983067026804213E-2</v>
      </c>
      <c r="I30" s="14">
        <f t="shared" ref="I30:I42" si="5">IF(D30=0,0,(G30-D30)/ABS(D30))</f>
        <v>-0.83333333333333337</v>
      </c>
    </row>
    <row r="31" spans="1:11" ht="15" customHeight="1" x14ac:dyDescent="0.25">
      <c r="A31" s="4" t="s">
        <v>118</v>
      </c>
      <c r="B31" s="12">
        <f>-Premissas!B38</f>
        <v>-12000</v>
      </c>
      <c r="C31" s="13">
        <f>IF(B19=0,0,B31/B19)</f>
        <v>-9.5098843360317625E-2</v>
      </c>
      <c r="D31" s="12">
        <f>-Premissas!C38</f>
        <v>-24000</v>
      </c>
      <c r="E31" s="13">
        <f>IF(D19=0,0,D31/D19)</f>
        <v>-5.8866813833701251E-2</v>
      </c>
      <c r="F31" s="14">
        <f t="shared" si="4"/>
        <v>-1</v>
      </c>
      <c r="G31" s="12">
        <f>-Premissas!D38</f>
        <v>-36000</v>
      </c>
      <c r="H31" s="13">
        <f>IF(G19=0,0,G31/G19)</f>
        <v>-4.8813824074978036E-2</v>
      </c>
      <c r="I31" s="14">
        <f t="shared" si="5"/>
        <v>-0.5</v>
      </c>
      <c r="K31" t="s">
        <v>246</v>
      </c>
    </row>
    <row r="32" spans="1:11" ht="15" customHeight="1" x14ac:dyDescent="0.25">
      <c r="A32" s="4" t="s">
        <v>119</v>
      </c>
      <c r="B32" s="12">
        <f>-Premissas!B39</f>
        <v>-3000</v>
      </c>
      <c r="C32" s="13">
        <f>IF(B19=0,0,B32/B19)</f>
        <v>-2.3774710840079406E-2</v>
      </c>
      <c r="D32" s="12">
        <f>-Premissas!C39</f>
        <v>-7000</v>
      </c>
      <c r="E32" s="13">
        <f>IF(D19=0,0,D32/D19)</f>
        <v>-1.7169487368162865E-2</v>
      </c>
      <c r="F32" s="14">
        <f t="shared" si="4"/>
        <v>-1.3333333333333333</v>
      </c>
      <c r="G32" s="12">
        <f>-Premissas!D39</f>
        <v>-9000</v>
      </c>
      <c r="H32" s="13">
        <f>IF(G19=0,0,G32/G19)</f>
        <v>-1.2203456018744509E-2</v>
      </c>
      <c r="I32" s="14">
        <f t="shared" si="5"/>
        <v>-0.2857142857142857</v>
      </c>
      <c r="K32" t="s">
        <v>247</v>
      </c>
    </row>
    <row r="33" spans="1:9" ht="15" customHeight="1" x14ac:dyDescent="0.25">
      <c r="A33" s="4" t="s">
        <v>120</v>
      </c>
      <c r="B33" s="12">
        <f>-Premissas!B40</f>
        <v>-2000</v>
      </c>
      <c r="C33" s="13">
        <f>IF(B19=0,0,B33/B19)</f>
        <v>-1.5849807226719605E-2</v>
      </c>
      <c r="D33" s="12">
        <f>-Premissas!C40</f>
        <v>-3000</v>
      </c>
      <c r="E33" s="13">
        <f>IF(D19=0,0,D33/D19)</f>
        <v>-7.3583517292126564E-3</v>
      </c>
      <c r="F33" s="14">
        <f t="shared" si="4"/>
        <v>-0.5</v>
      </c>
      <c r="G33" s="12">
        <f>-Premissas!D40</f>
        <v>-4000</v>
      </c>
      <c r="H33" s="13">
        <f>IF(G19=0,0,G33/G19)</f>
        <v>-5.4237582305531147E-3</v>
      </c>
      <c r="I33" s="14">
        <f t="shared" si="5"/>
        <v>-0.33333333333333331</v>
      </c>
    </row>
    <row r="34" spans="1:9" ht="15" customHeight="1" x14ac:dyDescent="0.25">
      <c r="A34" s="4" t="s">
        <v>121</v>
      </c>
      <c r="B34" s="12">
        <f>-Premissas!B41</f>
        <v>0</v>
      </c>
      <c r="C34" s="13">
        <f>IF(B19=0,0,B34/B19)</f>
        <v>0</v>
      </c>
      <c r="D34" s="12">
        <f>-Premissas!C41</f>
        <v>-8000</v>
      </c>
      <c r="E34" s="13">
        <f>IF(D19=0,0,D34/D19)</f>
        <v>-1.9622271277900418E-2</v>
      </c>
      <c r="F34" s="14">
        <f t="shared" si="4"/>
        <v>0</v>
      </c>
      <c r="G34" s="12">
        <f>-Premissas!D41</f>
        <v>-18000</v>
      </c>
      <c r="H34" s="13">
        <f>IF(G19=0,0,G34/G19)</f>
        <v>-2.4406912037489018E-2</v>
      </c>
      <c r="I34" s="14">
        <f t="shared" si="5"/>
        <v>-1.25</v>
      </c>
    </row>
    <row r="35" spans="1:9" ht="15" customHeight="1" x14ac:dyDescent="0.25">
      <c r="A35" s="15" t="s">
        <v>122</v>
      </c>
      <c r="B35" s="16">
        <f>SUM(B30:B34)</f>
        <v>-21000</v>
      </c>
      <c r="C35" s="17">
        <f>IF(B19=0,0,B35/B19)</f>
        <v>-0.16642297588055585</v>
      </c>
      <c r="D35" s="16">
        <f>SUM(D30:D34)</f>
        <v>-54000</v>
      </c>
      <c r="E35" s="17">
        <f>IF(D19=0,0,D35/D19)</f>
        <v>-0.13245033112582782</v>
      </c>
      <c r="F35" s="18">
        <f t="shared" si="4"/>
        <v>-1.5714285714285714</v>
      </c>
      <c r="G35" s="16">
        <f>SUM(G30:G34)</f>
        <v>-89000</v>
      </c>
      <c r="H35" s="17">
        <f>IF(G19=0,0,G35/G19)</f>
        <v>-0.1206786206298068</v>
      </c>
      <c r="I35" s="18">
        <f t="shared" si="5"/>
        <v>-0.64814814814814814</v>
      </c>
    </row>
    <row r="36" spans="1:9" ht="15" customHeight="1" x14ac:dyDescent="0.25">
      <c r="A36" s="15" t="s">
        <v>123</v>
      </c>
      <c r="B36" s="16">
        <f>B28+B35</f>
        <v>60384</v>
      </c>
      <c r="C36" s="17">
        <f>IF(B19=0,0,B36/B19)</f>
        <v>0.47853737978911831</v>
      </c>
      <c r="D36" s="16">
        <f>D28+D35</f>
        <v>238236</v>
      </c>
      <c r="E36" s="17">
        <f>IF(D19=0,0,D36/D19)</f>
        <v>0.58434142752023543</v>
      </c>
      <c r="F36" s="18">
        <f t="shared" si="4"/>
        <v>2.9453497615262321</v>
      </c>
      <c r="G36" s="16">
        <f>G28+G35</f>
        <v>454931.6</v>
      </c>
      <c r="H36" s="17">
        <f>IF(G19=0,0,G36/G19)</f>
        <v>0.61685975245967428</v>
      </c>
      <c r="I36" s="18">
        <f t="shared" si="5"/>
        <v>0.90958377407276814</v>
      </c>
    </row>
    <row r="37" spans="1:9" ht="15" customHeight="1" x14ac:dyDescent="0.25">
      <c r="A37" s="4" t="s">
        <v>124</v>
      </c>
      <c r="B37" s="12">
        <f>-Premissas!B45/3</f>
        <v>-1000</v>
      </c>
      <c r="C37" s="13">
        <f>IF(B19=0,0,B37/B19)</f>
        <v>-7.9249036133598027E-3</v>
      </c>
      <c r="D37" s="12">
        <f>-(Premissas!B45+Premissas!C45)/3</f>
        <v>-1500</v>
      </c>
      <c r="E37" s="13">
        <f>IF(D19=0,0,D37/D19)</f>
        <v>-3.6791758646063282E-3</v>
      </c>
      <c r="F37" s="14">
        <f t="shared" si="4"/>
        <v>-0.5</v>
      </c>
      <c r="G37" s="12">
        <f>-(Premissas!B45+Premissas!C45+Premissas!D45)/3</f>
        <v>-2000</v>
      </c>
      <c r="H37" s="13">
        <f>IF(G19=0,0,G37/G19)</f>
        <v>-2.7118791152765573E-3</v>
      </c>
      <c r="I37" s="14">
        <f t="shared" si="5"/>
        <v>-0.33333333333333331</v>
      </c>
    </row>
    <row r="38" spans="1:9" ht="15" customHeight="1" x14ac:dyDescent="0.25">
      <c r="A38" s="15" t="s">
        <v>125</v>
      </c>
      <c r="B38" s="16">
        <f>B36+B37</f>
        <v>59384</v>
      </c>
      <c r="C38" s="17">
        <f>IF(B19=0,0,B38/B19)</f>
        <v>0.47061247617575852</v>
      </c>
      <c r="D38" s="16">
        <f>D36+D37</f>
        <v>236736</v>
      </c>
      <c r="E38" s="17">
        <f>IF(D19=0,0,D38/D19)</f>
        <v>0.58066225165562912</v>
      </c>
      <c r="F38" s="18">
        <f t="shared" si="4"/>
        <v>2.9865283578068165</v>
      </c>
      <c r="G38" s="16">
        <f>G36+G37</f>
        <v>452931.6</v>
      </c>
      <c r="H38" s="17">
        <f>IF(G19=0,0,G38/G19)</f>
        <v>0.6141478733443978</v>
      </c>
      <c r="I38" s="18">
        <f t="shared" si="5"/>
        <v>0.91323499594484991</v>
      </c>
    </row>
    <row r="39" spans="1:9" ht="15" customHeight="1" x14ac:dyDescent="0.25">
      <c r="A39" s="4" t="s">
        <v>126</v>
      </c>
      <c r="B39" s="12">
        <f>0</f>
        <v>0</v>
      </c>
      <c r="C39" s="13">
        <f>IF(B19=0,0,B39/B19)</f>
        <v>0</v>
      </c>
      <c r="D39" s="12">
        <f>0</f>
        <v>0</v>
      </c>
      <c r="E39" s="13">
        <f>IF(D19=0,0,D39/D19)</f>
        <v>0</v>
      </c>
      <c r="F39" s="14">
        <f t="shared" si="4"/>
        <v>0</v>
      </c>
      <c r="G39" s="12">
        <f>0</f>
        <v>0</v>
      </c>
      <c r="H39" s="13">
        <f>IF(G19=0,0,G39/G19)</f>
        <v>0</v>
      </c>
      <c r="I39" s="14">
        <f t="shared" si="5"/>
        <v>0</v>
      </c>
    </row>
    <row r="40" spans="1:9" ht="15" customHeight="1" x14ac:dyDescent="0.25">
      <c r="A40" s="19" t="s">
        <v>127</v>
      </c>
      <c r="B40" s="20">
        <f>B38+B39</f>
        <v>59384</v>
      </c>
      <c r="C40" s="13">
        <f>IF(B19=0,0,B40/B19)</f>
        <v>0.47061247617575852</v>
      </c>
      <c r="D40" s="20">
        <f>D38+D39</f>
        <v>236736</v>
      </c>
      <c r="E40" s="13">
        <f>IF(D19=0,0,D40/D19)</f>
        <v>0.58066225165562912</v>
      </c>
      <c r="F40" s="14">
        <f t="shared" si="4"/>
        <v>2.9865283578068165</v>
      </c>
      <c r="G40" s="20">
        <f>G38+G39</f>
        <v>452931.6</v>
      </c>
      <c r="H40" s="13">
        <f>IF(G19=0,0,G40/G19)</f>
        <v>0.6141478733443978</v>
      </c>
      <c r="I40" s="14">
        <f t="shared" si="5"/>
        <v>0.91323499594484991</v>
      </c>
    </row>
    <row r="41" spans="1:9" ht="15" customHeight="1" x14ac:dyDescent="0.25">
      <c r="A41" s="4" t="s">
        <v>128</v>
      </c>
      <c r="B41" s="12">
        <f>-MAX(0,B40)*Premissas!B44</f>
        <v>-8907.6</v>
      </c>
      <c r="C41" s="13">
        <f>IF(B19=0,0,B41/B19)</f>
        <v>-7.0591871426363778E-2</v>
      </c>
      <c r="D41" s="12">
        <f>-MAX(0,D40)*Premissas!C44</f>
        <v>-35510.400000000001</v>
      </c>
      <c r="E41" s="13">
        <f>IF(D19=0,0,D41/D19)</f>
        <v>-8.7099337748344371E-2</v>
      </c>
      <c r="F41" s="14">
        <f t="shared" si="4"/>
        <v>-2.9865283578068169</v>
      </c>
      <c r="G41" s="12">
        <f>-MAX(0,G40)*Premissas!D44</f>
        <v>-67939.739999999991</v>
      </c>
      <c r="H41" s="13">
        <f>IF(G19=0,0,G41/G19)</f>
        <v>-9.2122181001659656E-2</v>
      </c>
      <c r="I41" s="14">
        <f t="shared" si="5"/>
        <v>-0.91323499594484958</v>
      </c>
    </row>
    <row r="42" spans="1:9" ht="15" customHeight="1" x14ac:dyDescent="0.25">
      <c r="A42" s="15" t="s">
        <v>129</v>
      </c>
      <c r="B42" s="16">
        <f>B40+B41</f>
        <v>50476.4</v>
      </c>
      <c r="C42" s="17">
        <f>IF(B19=0,0,B42/B19)</f>
        <v>0.40002060474939477</v>
      </c>
      <c r="D42" s="16">
        <f>D40+D41</f>
        <v>201225.60000000001</v>
      </c>
      <c r="E42" s="17">
        <f>IF(D19=0,0,D42/D19)</f>
        <v>0.49356291390728479</v>
      </c>
      <c r="F42" s="18">
        <f t="shared" si="4"/>
        <v>2.9865283578068169</v>
      </c>
      <c r="G42" s="16">
        <f>G40+G41</f>
        <v>384991.86</v>
      </c>
      <c r="H42" s="17">
        <f>IF(G19=0,0,G42/G19)</f>
        <v>0.5220256923427381</v>
      </c>
      <c r="I42" s="18">
        <f t="shared" si="5"/>
        <v>0.9132349959448498</v>
      </c>
    </row>
    <row r="44" spans="1:9" ht="15" customHeight="1" x14ac:dyDescent="0.25">
      <c r="A44" s="21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68.7109375" customWidth="1"/>
    <col min="2" max="4" width="13" customWidth="1"/>
    <col min="5" max="5" width="15" customWidth="1"/>
    <col min="6" max="6" width="11" customWidth="1"/>
    <col min="7" max="7" width="30" customWidth="1"/>
  </cols>
  <sheetData>
    <row r="1" spans="1:7" ht="16.5" x14ac:dyDescent="0.25">
      <c r="A1" s="1" t="s">
        <v>131</v>
      </c>
    </row>
    <row r="2" spans="1:7" x14ac:dyDescent="0.25">
      <c r="A2" s="2" t="s">
        <v>132</v>
      </c>
    </row>
    <row r="4" spans="1:7" x14ac:dyDescent="0.25">
      <c r="A4" s="33"/>
      <c r="B4" s="11" t="s">
        <v>3</v>
      </c>
      <c r="C4" s="11" t="s">
        <v>4</v>
      </c>
      <c r="D4" s="11" t="s">
        <v>5</v>
      </c>
      <c r="E4" s="11" t="s">
        <v>133</v>
      </c>
    </row>
    <row r="5" spans="1:7" x14ac:dyDescent="0.25">
      <c r="A5" s="34" t="s">
        <v>134</v>
      </c>
      <c r="B5" s="22">
        <f>DRE!B42</f>
        <v>50476.4</v>
      </c>
      <c r="C5" s="22">
        <f>DRE!D42</f>
        <v>201225.60000000001</v>
      </c>
      <c r="D5" s="22">
        <f>DRE!G42</f>
        <v>384991.86</v>
      </c>
      <c r="E5" s="22">
        <f>SUM(B5:D5)</f>
        <v>636693.86</v>
      </c>
    </row>
    <row r="6" spans="1:7" x14ac:dyDescent="0.25">
      <c r="A6" s="35" t="s">
        <v>135</v>
      </c>
      <c r="B6" s="10">
        <v>0.5</v>
      </c>
      <c r="C6" s="10">
        <v>0.7</v>
      </c>
      <c r="D6" s="10">
        <v>0.6</v>
      </c>
      <c r="G6" s="23" t="s">
        <v>136</v>
      </c>
    </row>
    <row r="7" spans="1:7" x14ac:dyDescent="0.25">
      <c r="A7" s="36" t="s">
        <v>137</v>
      </c>
      <c r="B7" s="24">
        <f>B5*B6</f>
        <v>25238.2</v>
      </c>
      <c r="C7" s="24">
        <f>C5*C6</f>
        <v>140857.91999999998</v>
      </c>
      <c r="D7" s="24">
        <f>D5*D6</f>
        <v>230995.11599999998</v>
      </c>
      <c r="E7" s="24">
        <f>SUM(B7:D7)</f>
        <v>397091.23599999998</v>
      </c>
    </row>
    <row r="8" spans="1:7" x14ac:dyDescent="0.25">
      <c r="A8" s="37"/>
    </row>
    <row r="9" spans="1:7" x14ac:dyDescent="0.25">
      <c r="A9" s="38" t="s">
        <v>138</v>
      </c>
      <c r="B9" s="9"/>
      <c r="C9" s="9"/>
      <c r="D9" s="9"/>
      <c r="E9" s="9"/>
      <c r="F9" s="9"/>
    </row>
    <row r="10" spans="1:7" x14ac:dyDescent="0.25">
      <c r="A10" s="34" t="s">
        <v>139</v>
      </c>
      <c r="B10" s="22">
        <f>DRE!B5+DRE!B6+DRE!B7+DRE!B8+DRE!B9+DRE!B15+DRE!B16</f>
        <v>91650</v>
      </c>
      <c r="C10" s="22">
        <f>DRE!D5+DRE!D6+DRE!D7+DRE!D8+DRE!D9+DRE!D15+DRE!D16</f>
        <v>322535</v>
      </c>
      <c r="D10" s="22">
        <f>DRE!G5+DRE!G6+DRE!G7+DRE!G8+DRE!G9+DRE!G15+DRE!G16</f>
        <v>592295</v>
      </c>
      <c r="E10" s="22">
        <f>SUM(B10:D10)</f>
        <v>1006480</v>
      </c>
    </row>
    <row r="11" spans="1:7" x14ac:dyDescent="0.25">
      <c r="A11" s="34" t="s">
        <v>140</v>
      </c>
      <c r="B11" s="22">
        <f>DRE!B10+DRE!B11+DRE!B12+DRE!B13</f>
        <v>36555</v>
      </c>
      <c r="C11" s="22">
        <f>DRE!D10+DRE!D11+DRE!D12+DRE!D13</f>
        <v>100465</v>
      </c>
      <c r="D11" s="22">
        <f>DRE!G10+DRE!G11+DRE!G12+DRE!G13</f>
        <v>163145</v>
      </c>
      <c r="E11" s="22">
        <f>SUM(B11:D11)</f>
        <v>300165</v>
      </c>
    </row>
    <row r="12" spans="1:7" x14ac:dyDescent="0.25">
      <c r="A12" s="34" t="s">
        <v>141</v>
      </c>
      <c r="B12" s="22">
        <f>DRE!B14</f>
        <v>12000</v>
      </c>
      <c r="C12" s="22">
        <f>DRE!D14</f>
        <v>30000</v>
      </c>
      <c r="D12" s="22">
        <f>DRE!G14</f>
        <v>64000</v>
      </c>
      <c r="E12" s="22">
        <f>SUM(B12:D12)</f>
        <v>106000</v>
      </c>
    </row>
    <row r="13" spans="1:7" x14ac:dyDescent="0.25">
      <c r="A13" s="36" t="s">
        <v>142</v>
      </c>
      <c r="B13" s="24">
        <f>B10+B11+B12</f>
        <v>140205</v>
      </c>
      <c r="C13" s="24">
        <f>C10+C11+C12</f>
        <v>453000</v>
      </c>
      <c r="D13" s="24">
        <f>D10+D11+D12</f>
        <v>819440</v>
      </c>
      <c r="E13" s="24">
        <f>SUM(B13:D13)</f>
        <v>1412645</v>
      </c>
    </row>
    <row r="14" spans="1:7" x14ac:dyDescent="0.25">
      <c r="A14" s="37"/>
    </row>
    <row r="15" spans="1:7" x14ac:dyDescent="0.25">
      <c r="A15" s="38" t="s">
        <v>143</v>
      </c>
      <c r="B15" s="9"/>
      <c r="C15" s="9"/>
      <c r="D15" s="9"/>
      <c r="E15" s="9"/>
      <c r="F15" s="9"/>
      <c r="G15" s="23" t="s">
        <v>144</v>
      </c>
    </row>
    <row r="16" spans="1:7" x14ac:dyDescent="0.25">
      <c r="A16" s="35" t="s">
        <v>145</v>
      </c>
      <c r="B16" s="12">
        <f>IF(B13=0,0,B7*B10/B13)</f>
        <v>16497.849791376913</v>
      </c>
      <c r="C16" s="12">
        <f>IF(C13=0,0,C7*C10/C13)</f>
        <v>100290.52809536424</v>
      </c>
      <c r="D16" s="12">
        <f>IF(D13=0,0,D7*D10/D13)</f>
        <v>166964.33202091671</v>
      </c>
      <c r="E16" s="12">
        <f>SUM(B16:D16)</f>
        <v>283752.70990765787</v>
      </c>
    </row>
    <row r="17" spans="1:7" x14ac:dyDescent="0.25">
      <c r="A17" s="35" t="s">
        <v>146</v>
      </c>
      <c r="B17" s="12">
        <f>IF(B13=0,0,B7*B11/B13)</f>
        <v>6580.2389429763562</v>
      </c>
      <c r="C17" s="12">
        <f>IF(C13=0,0,C7*C11/C13)</f>
        <v>31239.052831788078</v>
      </c>
      <c r="D17" s="12">
        <f>IF(D13=0,0,D7*D11/D13)</f>
        <v>45989.57605171825</v>
      </c>
      <c r="E17" s="12">
        <f>SUM(B17:D17)</f>
        <v>83808.867826482689</v>
      </c>
    </row>
    <row r="18" spans="1:7" x14ac:dyDescent="0.25">
      <c r="A18" s="35" t="s">
        <v>147</v>
      </c>
      <c r="B18" s="12">
        <f>IF(B13=0,0,B7*B12/B13)</f>
        <v>2160.1112656467317</v>
      </c>
      <c r="C18" s="12">
        <f>IF(C13=0,0,C7*C12/C13)</f>
        <v>9328.3390728476807</v>
      </c>
      <c r="D18" s="12">
        <f>IF(D13=0,0,D7*D12/D13)</f>
        <v>18041.207927365027</v>
      </c>
      <c r="E18" s="12">
        <f>SUM(B18:D18)</f>
        <v>29529.658265859442</v>
      </c>
    </row>
    <row r="19" spans="1:7" x14ac:dyDescent="0.25">
      <c r="A19" s="37"/>
    </row>
    <row r="20" spans="1:7" x14ac:dyDescent="0.25">
      <c r="A20" s="38" t="s">
        <v>148</v>
      </c>
      <c r="B20" s="9"/>
      <c r="C20" s="9"/>
      <c r="D20" s="9"/>
      <c r="E20" s="9"/>
      <c r="F20" s="11" t="s">
        <v>149</v>
      </c>
      <c r="G20" s="23"/>
    </row>
    <row r="21" spans="1:7" x14ac:dyDescent="0.25">
      <c r="A21" s="35" t="s">
        <v>150</v>
      </c>
      <c r="B21" s="12">
        <f>B16*$F21</f>
        <v>9898.7098748261469</v>
      </c>
      <c r="C21" s="12">
        <f>C16*$F21</f>
        <v>60174.316857218539</v>
      </c>
      <c r="D21" s="12">
        <f>D16*$F21</f>
        <v>100178.59921255002</v>
      </c>
      <c r="E21" s="12">
        <f>SUM(B21:D21)</f>
        <v>170251.62594459471</v>
      </c>
      <c r="F21" s="10">
        <v>0.6</v>
      </c>
    </row>
    <row r="22" spans="1:7" x14ac:dyDescent="0.25">
      <c r="A22" s="35" t="s">
        <v>151</v>
      </c>
      <c r="B22" s="12">
        <f>B16*$F22</f>
        <v>6599.1399165507655</v>
      </c>
      <c r="C22" s="12">
        <f>C16*$F22</f>
        <v>40116.211238145697</v>
      </c>
      <c r="D22" s="12">
        <f>D16*$F22</f>
        <v>66785.732808366694</v>
      </c>
      <c r="E22" s="12">
        <f>SUM(B22:D22)</f>
        <v>113501.08396306317</v>
      </c>
      <c r="F22" s="10">
        <v>0.4</v>
      </c>
    </row>
    <row r="23" spans="1:7" x14ac:dyDescent="0.25">
      <c r="A23" s="39" t="s">
        <v>152</v>
      </c>
      <c r="F23" s="25">
        <f>SUM(F21:F22)</f>
        <v>1</v>
      </c>
      <c r="G23" s="23" t="str">
        <f>IF(ABS(F23-1)&lt;0.0001,"100% OK","AJUSTAR %")</f>
        <v>100% OK</v>
      </c>
    </row>
    <row r="24" spans="1:7" x14ac:dyDescent="0.25">
      <c r="A24" s="37"/>
    </row>
    <row r="25" spans="1:7" x14ac:dyDescent="0.25">
      <c r="A25" s="38" t="s">
        <v>153</v>
      </c>
      <c r="B25" s="9"/>
      <c r="C25" s="9"/>
      <c r="D25" s="9"/>
      <c r="E25" s="9"/>
      <c r="F25" s="11" t="s">
        <v>149</v>
      </c>
      <c r="G25" s="23" t="s">
        <v>154</v>
      </c>
    </row>
    <row r="26" spans="1:7" x14ac:dyDescent="0.25">
      <c r="A26" s="35" t="s">
        <v>150</v>
      </c>
      <c r="B26" s="12">
        <f>B17*$F26</f>
        <v>2632.0955771905428</v>
      </c>
      <c r="C26" s="12">
        <f>C17*$F26</f>
        <v>12495.621132715232</v>
      </c>
      <c r="D26" s="12">
        <f>D17*$F26</f>
        <v>18395.8304206873</v>
      </c>
      <c r="E26" s="12">
        <f>SUM(B26:D26)</f>
        <v>33523.547130593077</v>
      </c>
      <c r="F26" s="10">
        <v>0.4</v>
      </c>
    </row>
    <row r="27" spans="1:7" x14ac:dyDescent="0.25">
      <c r="A27" s="35" t="s">
        <v>151</v>
      </c>
      <c r="B27" s="12">
        <f>B17*$F27</f>
        <v>3948.1433657858133</v>
      </c>
      <c r="C27" s="12">
        <f>C17*$F27</f>
        <v>18743.431699072848</v>
      </c>
      <c r="D27" s="12">
        <f>D17*$F27</f>
        <v>27593.74563103095</v>
      </c>
      <c r="E27" s="12">
        <f>SUM(B27:D27)</f>
        <v>50285.320695889612</v>
      </c>
      <c r="F27" s="10">
        <v>0.6</v>
      </c>
    </row>
    <row r="28" spans="1:7" x14ac:dyDescent="0.25">
      <c r="A28" s="39" t="s">
        <v>152</v>
      </c>
      <c r="F28" s="25">
        <f>SUM(F26:F27)</f>
        <v>1</v>
      </c>
      <c r="G28" s="23" t="str">
        <f>IF(ABS(F28-1)&lt;0.0001,"100% OK","AJUSTAR %")</f>
        <v>100% OK</v>
      </c>
    </row>
    <row r="29" spans="1:7" x14ac:dyDescent="0.25">
      <c r="A29" s="37"/>
    </row>
    <row r="30" spans="1:7" x14ac:dyDescent="0.25">
      <c r="A30" s="38" t="s">
        <v>155</v>
      </c>
      <c r="B30" s="9"/>
      <c r="C30" s="9"/>
      <c r="D30" s="9"/>
      <c r="E30" s="9"/>
      <c r="F30" s="11" t="s">
        <v>149</v>
      </c>
      <c r="G30" s="23" t="s">
        <v>156</v>
      </c>
    </row>
    <row r="31" spans="1:7" x14ac:dyDescent="0.25">
      <c r="A31" s="35" t="s">
        <v>150</v>
      </c>
      <c r="B31" s="12">
        <f>B18*$F31</f>
        <v>1080.0556328233658</v>
      </c>
      <c r="C31" s="12">
        <f>C18*$F31</f>
        <v>4664.1695364238403</v>
      </c>
      <c r="D31" s="12">
        <f>D18*$F31</f>
        <v>9020.6039636825135</v>
      </c>
      <c r="E31" s="12">
        <f>SUM(B31:D31)</f>
        <v>14764.829132929721</v>
      </c>
      <c r="F31" s="10">
        <v>0.5</v>
      </c>
    </row>
    <row r="32" spans="1:7" x14ac:dyDescent="0.25">
      <c r="A32" s="35" t="s">
        <v>151</v>
      </c>
      <c r="B32" s="12">
        <f>B18*$F32</f>
        <v>1080.0556328233658</v>
      </c>
      <c r="C32" s="12">
        <f>C18*$F32</f>
        <v>4664.1695364238403</v>
      </c>
      <c r="D32" s="12">
        <f>D18*$F32</f>
        <v>9020.6039636825135</v>
      </c>
      <c r="E32" s="12">
        <f>SUM(B32:D32)</f>
        <v>14764.829132929721</v>
      </c>
      <c r="F32" s="10">
        <v>0.5</v>
      </c>
    </row>
    <row r="33" spans="1:7" x14ac:dyDescent="0.25">
      <c r="A33" s="39" t="s">
        <v>152</v>
      </c>
      <c r="F33" s="25">
        <f>SUM(F31:F32)</f>
        <v>1</v>
      </c>
      <c r="G33" s="23" t="str">
        <f>IF(ABS(F33-1)&lt;0.0001,"100% OK","AJUSTAR %")</f>
        <v>100% OK</v>
      </c>
    </row>
    <row r="34" spans="1:7" x14ac:dyDescent="0.25">
      <c r="A34" s="37"/>
    </row>
    <row r="35" spans="1:7" x14ac:dyDescent="0.25">
      <c r="A35" s="38" t="s">
        <v>157</v>
      </c>
      <c r="B35" s="9"/>
      <c r="C35" s="9"/>
      <c r="D35" s="9"/>
      <c r="E35" s="9"/>
      <c r="F35" s="9"/>
      <c r="G35" s="23" t="s">
        <v>158</v>
      </c>
    </row>
    <row r="36" spans="1:7" x14ac:dyDescent="0.25">
      <c r="A36" s="35" t="s">
        <v>159</v>
      </c>
      <c r="B36" s="26">
        <v>0</v>
      </c>
      <c r="C36" s="26">
        <v>1</v>
      </c>
      <c r="D36" s="26">
        <v>2</v>
      </c>
      <c r="G36" s="23" t="s">
        <v>160</v>
      </c>
    </row>
    <row r="37" spans="1:7" x14ac:dyDescent="0.25">
      <c r="A37" s="35" t="s">
        <v>161</v>
      </c>
      <c r="B37" s="27">
        <v>300000</v>
      </c>
      <c r="C37" s="27">
        <v>300000</v>
      </c>
      <c r="D37" s="27">
        <v>320000</v>
      </c>
      <c r="G37" s="23" t="s">
        <v>162</v>
      </c>
    </row>
    <row r="38" spans="1:7" x14ac:dyDescent="0.25">
      <c r="A38" s="35" t="s">
        <v>163</v>
      </c>
      <c r="B38" s="10">
        <v>0.1</v>
      </c>
      <c r="C38" s="10">
        <v>0.1</v>
      </c>
      <c r="D38" s="10">
        <v>0.1</v>
      </c>
      <c r="G38" s="23" t="s">
        <v>164</v>
      </c>
    </row>
    <row r="39" spans="1:7" x14ac:dyDescent="0.25">
      <c r="A39" s="40" t="s">
        <v>165</v>
      </c>
      <c r="B39" s="28">
        <f>B36*B37*B38</f>
        <v>0</v>
      </c>
      <c r="C39" s="28">
        <f>C36*C37*C38</f>
        <v>30000</v>
      </c>
      <c r="D39" s="28">
        <f>D36*D37*D38</f>
        <v>64000</v>
      </c>
      <c r="E39" s="28">
        <f>SUM(B39:D39)</f>
        <v>94000</v>
      </c>
    </row>
    <row r="40" spans="1:7" x14ac:dyDescent="0.25">
      <c r="A40" s="38" t="s">
        <v>166</v>
      </c>
      <c r="B40" s="9"/>
      <c r="C40" s="9"/>
      <c r="D40" s="9"/>
      <c r="E40" s="9"/>
      <c r="F40" s="11" t="s">
        <v>149</v>
      </c>
    </row>
    <row r="41" spans="1:7" x14ac:dyDescent="0.25">
      <c r="A41" s="35" t="s">
        <v>150</v>
      </c>
      <c r="B41" s="12">
        <f>B39*$F41</f>
        <v>0</v>
      </c>
      <c r="C41" s="12">
        <f>C39*$F41</f>
        <v>18000</v>
      </c>
      <c r="D41" s="12">
        <f>D39*$F41</f>
        <v>38400</v>
      </c>
      <c r="E41" s="12">
        <f>SUM(B41:D41)</f>
        <v>56400</v>
      </c>
      <c r="F41" s="10">
        <v>0.6</v>
      </c>
    </row>
    <row r="42" spans="1:7" x14ac:dyDescent="0.25">
      <c r="A42" s="35" t="s">
        <v>151</v>
      </c>
      <c r="B42" s="12">
        <f>B39*$F42</f>
        <v>0</v>
      </c>
      <c r="C42" s="12">
        <f>C39*$F42</f>
        <v>12000</v>
      </c>
      <c r="D42" s="12">
        <f>D39*$F42</f>
        <v>25600</v>
      </c>
      <c r="E42" s="12">
        <f>SUM(B42:D42)</f>
        <v>37600</v>
      </c>
      <c r="F42" s="10">
        <v>0.4</v>
      </c>
    </row>
    <row r="43" spans="1:7" x14ac:dyDescent="0.25">
      <c r="A43" s="39" t="s">
        <v>152</v>
      </c>
      <c r="F43" s="25">
        <f>SUM(F41:F42)</f>
        <v>1</v>
      </c>
      <c r="G43" s="23" t="s">
        <v>167</v>
      </c>
    </row>
    <row r="44" spans="1:7" x14ac:dyDescent="0.25">
      <c r="A44" s="41" t="s">
        <v>168</v>
      </c>
      <c r="B44" s="29">
        <f>B36*B37*(1-B38)</f>
        <v>0</v>
      </c>
      <c r="C44" s="29">
        <f>C36*C37*(1-C38)</f>
        <v>270000</v>
      </c>
      <c r="D44" s="29">
        <f>D36*D37*(1-D38)</f>
        <v>576000</v>
      </c>
      <c r="E44" s="29">
        <f>SUM(B44:D44)</f>
        <v>846000</v>
      </c>
    </row>
    <row r="45" spans="1:7" x14ac:dyDescent="0.25">
      <c r="A45" s="37"/>
    </row>
    <row r="46" spans="1:7" x14ac:dyDescent="0.25">
      <c r="A46" s="38" t="s">
        <v>169</v>
      </c>
      <c r="B46" s="9"/>
      <c r="C46" s="9"/>
      <c r="D46" s="9"/>
      <c r="E46" s="9"/>
      <c r="F46" s="9"/>
    </row>
    <row r="47" spans="1:7" x14ac:dyDescent="0.25">
      <c r="A47" s="42" t="s">
        <v>170</v>
      </c>
      <c r="B47" s="30">
        <f t="shared" ref="B47:D48" si="0">B21+B26+B31+B41</f>
        <v>13610.861084840055</v>
      </c>
      <c r="C47" s="30">
        <f t="shared" si="0"/>
        <v>95334.107526357606</v>
      </c>
      <c r="D47" s="30">
        <f t="shared" si="0"/>
        <v>165995.03359691985</v>
      </c>
      <c r="E47" s="30">
        <f>SUM(B47:D47)</f>
        <v>274940.00220811751</v>
      </c>
    </row>
    <row r="48" spans="1:7" x14ac:dyDescent="0.25">
      <c r="A48" s="42" t="s">
        <v>171</v>
      </c>
      <c r="B48" s="30">
        <f t="shared" si="0"/>
        <v>11627.338915159944</v>
      </c>
      <c r="C48" s="30">
        <f t="shared" si="0"/>
        <v>75523.812473642378</v>
      </c>
      <c r="D48" s="30">
        <f t="shared" si="0"/>
        <v>129000.08240308016</v>
      </c>
      <c r="E48" s="30">
        <f>SUM(B48:D48)</f>
        <v>216151.23379188246</v>
      </c>
    </row>
    <row r="49" spans="1:6" x14ac:dyDescent="0.25">
      <c r="A49" s="41" t="s">
        <v>172</v>
      </c>
      <c r="B49" s="29">
        <f>B48+B44</f>
        <v>11627.338915159944</v>
      </c>
      <c r="C49" s="29">
        <f>C48+C44</f>
        <v>345523.81247364241</v>
      </c>
      <c r="D49" s="29">
        <f>D48+D44</f>
        <v>705000.08240308019</v>
      </c>
      <c r="E49" s="29">
        <f>SUM(B49:D49)</f>
        <v>1062151.2337918826</v>
      </c>
    </row>
    <row r="50" spans="1:6" x14ac:dyDescent="0.25">
      <c r="A50" s="37"/>
    </row>
    <row r="51" spans="1:6" x14ac:dyDescent="0.25">
      <c r="A51" s="38" t="s">
        <v>173</v>
      </c>
      <c r="B51" s="9"/>
      <c r="C51" s="9"/>
      <c r="D51" s="9"/>
      <c r="E51" s="9"/>
      <c r="F51" s="9"/>
    </row>
    <row r="52" spans="1:6" x14ac:dyDescent="0.25">
      <c r="A52" s="42" t="s">
        <v>174</v>
      </c>
      <c r="B52" s="25">
        <f>IF(B7=0,0,(B21+B26+B31)/B7)</f>
        <v>0.53929603081202515</v>
      </c>
      <c r="C52" s="25">
        <f>IF(C7=0,0,(C21+C26+C31)/C7)</f>
        <v>0.54902207505518763</v>
      </c>
      <c r="D52" s="25">
        <f>IF(D7=0,0,(D21+D26+D31)/D7)</f>
        <v>0.55237113150444206</v>
      </c>
      <c r="E52" s="25">
        <f>IF(E7=0,0,(E21+E26+E31)/E7)</f>
        <v>0.55035211658037586</v>
      </c>
    </row>
    <row r="53" spans="1:6" x14ac:dyDescent="0.25">
      <c r="A53" s="42" t="s">
        <v>175</v>
      </c>
      <c r="B53" s="25">
        <f>IF(B7=0,0,(B22+B27+B32)/B7)</f>
        <v>0.46070396918797474</v>
      </c>
      <c r="C53" s="25">
        <f>IF(C7=0,0,(C22+C27+C32)/C7)</f>
        <v>0.45097792494481242</v>
      </c>
      <c r="D53" s="25">
        <f>IF(D7=0,0,(D22+D27+D32)/D7)</f>
        <v>0.447628868495558</v>
      </c>
      <c r="E53" s="25">
        <f>IF(E7=0,0,(E22+E27+E32)/E7)</f>
        <v>0.44964788341962431</v>
      </c>
    </row>
    <row r="54" spans="1:6" x14ac:dyDescent="0.25">
      <c r="A54" s="37"/>
    </row>
    <row r="55" spans="1:6" ht="26.25" x14ac:dyDescent="0.25">
      <c r="A55" s="39" t="s">
        <v>176</v>
      </c>
    </row>
    <row r="56" spans="1:6" ht="26.25" x14ac:dyDescent="0.25">
      <c r="A56" s="39" t="s">
        <v>177</v>
      </c>
    </row>
    <row r="57" spans="1:6" ht="26.25" x14ac:dyDescent="0.25">
      <c r="A57" s="39" t="s">
        <v>178</v>
      </c>
    </row>
    <row r="58" spans="1:6" ht="26.25" x14ac:dyDescent="0.25">
      <c r="A58" s="39" t="s">
        <v>179</v>
      </c>
    </row>
    <row r="59" spans="1:6" ht="26.25" x14ac:dyDescent="0.25">
      <c r="A59" s="39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Normal="100" workbookViewId="0">
      <selection activeCell="B19" sqref="B19"/>
    </sheetView>
  </sheetViews>
  <sheetFormatPr defaultColWidth="8.7109375" defaultRowHeight="15" x14ac:dyDescent="0.25"/>
  <cols>
    <col min="1" max="1" width="42" customWidth="1"/>
    <col min="2" max="4" width="14" customWidth="1"/>
  </cols>
  <sheetData>
    <row r="1" spans="1:4" ht="15.75" customHeight="1" x14ac:dyDescent="0.25">
      <c r="A1" s="1" t="s">
        <v>181</v>
      </c>
    </row>
    <row r="2" spans="1:4" ht="15" customHeight="1" x14ac:dyDescent="0.25">
      <c r="A2" s="2" t="s">
        <v>182</v>
      </c>
    </row>
    <row r="4" spans="1:4" ht="15" customHeight="1" x14ac:dyDescent="0.25">
      <c r="A4" s="11"/>
      <c r="B4" s="11" t="s">
        <v>3</v>
      </c>
      <c r="C4" s="11" t="s">
        <v>4</v>
      </c>
      <c r="D4" s="11" t="s">
        <v>5</v>
      </c>
    </row>
    <row r="5" spans="1:4" ht="15" customHeight="1" x14ac:dyDescent="0.25">
      <c r="A5" s="3" t="s">
        <v>183</v>
      </c>
      <c r="B5" s="9"/>
      <c r="C5" s="9"/>
      <c r="D5" s="9"/>
    </row>
    <row r="6" spans="1:4" ht="15" customHeight="1" x14ac:dyDescent="0.25">
      <c r="A6" s="4" t="s">
        <v>184</v>
      </c>
      <c r="B6" s="22">
        <f>DRE!B5*Premissas!B47</f>
        <v>16800</v>
      </c>
      <c r="C6" s="22">
        <f>DRE!D5*Premissas!C47</f>
        <v>62999.999999999993</v>
      </c>
      <c r="D6" s="22">
        <f>DRE!G5*Premissas!D47</f>
        <v>121799.99999999999</v>
      </c>
    </row>
    <row r="7" spans="1:4" ht="15" customHeight="1" x14ac:dyDescent="0.25">
      <c r="A7" s="4" t="s">
        <v>185</v>
      </c>
      <c r="B7" s="22">
        <f>-(DRE!B27+DRE!B35)*Premissas!B49</f>
        <v>2632.02</v>
      </c>
      <c r="C7" s="22">
        <f>-(DRE!D27+DRE!D35)*Premissas!C49</f>
        <v>6778.56</v>
      </c>
      <c r="D7" s="22">
        <f>-(DRE!G27+DRE!G35)*Premissas!D49</f>
        <v>11302.576000000001</v>
      </c>
    </row>
    <row r="8" spans="1:4" ht="15" customHeight="1" x14ac:dyDescent="0.25">
      <c r="A8" s="15" t="s">
        <v>186</v>
      </c>
      <c r="B8" s="16">
        <f>B6+B7</f>
        <v>19432.02</v>
      </c>
      <c r="C8" s="16">
        <f>C6+C7</f>
        <v>69778.559999999998</v>
      </c>
      <c r="D8" s="16">
        <f>D6+D7</f>
        <v>133102.576</v>
      </c>
    </row>
    <row r="9" spans="1:4" ht="15" customHeight="1" x14ac:dyDescent="0.25">
      <c r="A9" s="4" t="s">
        <v>187</v>
      </c>
      <c r="B9" s="22">
        <f>0</f>
        <v>0</v>
      </c>
      <c r="C9" s="22">
        <f>0</f>
        <v>0</v>
      </c>
      <c r="D9" s="22">
        <f>0</f>
        <v>0</v>
      </c>
    </row>
    <row r="10" spans="1:4" ht="15" customHeight="1" x14ac:dyDescent="0.25">
      <c r="A10" s="4" t="s">
        <v>188</v>
      </c>
      <c r="B10" s="22">
        <f>Premissas!B46</f>
        <v>12000</v>
      </c>
      <c r="C10" s="22">
        <f>Premissas!C46</f>
        <v>12000</v>
      </c>
      <c r="D10" s="22">
        <f>Premissas!D46</f>
        <v>12000</v>
      </c>
    </row>
    <row r="11" spans="1:4" ht="15" customHeight="1" x14ac:dyDescent="0.25">
      <c r="A11" s="4" t="s">
        <v>189</v>
      </c>
      <c r="B11" s="22">
        <f>DRE!B42</f>
        <v>50476.4</v>
      </c>
      <c r="C11" s="22">
        <f>B11+DRE!D42</f>
        <v>251702</v>
      </c>
      <c r="D11" s="22">
        <f>C11+DRE!G42</f>
        <v>636693.86</v>
      </c>
    </row>
    <row r="12" spans="1:4" ht="15" customHeight="1" x14ac:dyDescent="0.25">
      <c r="A12" s="15" t="s">
        <v>190</v>
      </c>
      <c r="B12" s="16">
        <f>B10+B11</f>
        <v>62476.4</v>
      </c>
      <c r="C12" s="16">
        <f>C10+C11</f>
        <v>263702</v>
      </c>
      <c r="D12" s="16">
        <f>D10+D11</f>
        <v>648693.86</v>
      </c>
    </row>
    <row r="13" spans="1:4" ht="15" customHeight="1" x14ac:dyDescent="0.25">
      <c r="A13" s="15" t="s">
        <v>191</v>
      </c>
      <c r="B13" s="16">
        <f>B8+B9+B12</f>
        <v>81908.42</v>
      </c>
      <c r="C13" s="16">
        <f>C8+C9+C12</f>
        <v>333480.56</v>
      </c>
      <c r="D13" s="16">
        <f>D8+D9+D12</f>
        <v>781796.43599999999</v>
      </c>
    </row>
    <row r="15" spans="1:4" ht="15" customHeight="1" x14ac:dyDescent="0.25">
      <c r="A15" s="3" t="s">
        <v>192</v>
      </c>
      <c r="B15" s="9"/>
      <c r="C15" s="9"/>
      <c r="D15" s="9"/>
    </row>
    <row r="16" spans="1:4" ht="15" customHeight="1" x14ac:dyDescent="0.25">
      <c r="A16" s="4" t="s">
        <v>193</v>
      </c>
      <c r="B16" s="22">
        <f>DRE!B17*Premissas!B48</f>
        <v>7010.25</v>
      </c>
      <c r="C16" s="22">
        <f>DRE!D17*Premissas!C48</f>
        <v>22650</v>
      </c>
      <c r="D16" s="22">
        <f>DRE!G17*Premissas!D48</f>
        <v>40972</v>
      </c>
    </row>
    <row r="17" spans="1:4" ht="15" customHeight="1" x14ac:dyDescent="0.25">
      <c r="A17" s="4" t="s">
        <v>194</v>
      </c>
      <c r="B17" s="22">
        <f>Premissas!B45+DRE!B37</f>
        <v>2000</v>
      </c>
      <c r="C17" s="22">
        <f>B17+Premissas!C45+DRE!D37</f>
        <v>2000</v>
      </c>
      <c r="D17" s="22">
        <f>C17+Premissas!D45+DRE!G37</f>
        <v>1500</v>
      </c>
    </row>
    <row r="18" spans="1:4" ht="15" customHeight="1" x14ac:dyDescent="0.25">
      <c r="A18" s="4" t="s">
        <v>195</v>
      </c>
      <c r="B18" s="22">
        <f>B13-B16-B17</f>
        <v>72898.17</v>
      </c>
      <c r="C18" s="22">
        <f>C13-C16-C17</f>
        <v>308830.56</v>
      </c>
      <c r="D18" s="22">
        <f>D13-D16-D17</f>
        <v>739324.43599999999</v>
      </c>
    </row>
    <row r="19" spans="1:4" ht="15" customHeight="1" x14ac:dyDescent="0.25">
      <c r="A19" s="15" t="s">
        <v>196</v>
      </c>
      <c r="B19" s="16">
        <f t="shared" ref="B19:D20" si="0">B18+B16</f>
        <v>79908.42</v>
      </c>
      <c r="C19" s="16">
        <f t="shared" si="0"/>
        <v>331480.56</v>
      </c>
      <c r="D19" s="16">
        <f t="shared" si="0"/>
        <v>780296.43599999999</v>
      </c>
    </row>
    <row r="20" spans="1:4" ht="15" customHeight="1" x14ac:dyDescent="0.25">
      <c r="A20" s="15" t="s">
        <v>197</v>
      </c>
      <c r="B20" s="16">
        <f t="shared" si="0"/>
        <v>81908.42</v>
      </c>
      <c r="C20" s="16">
        <f t="shared" si="0"/>
        <v>333480.56</v>
      </c>
      <c r="D20" s="16">
        <f t="shared" si="0"/>
        <v>781796.43599999999</v>
      </c>
    </row>
    <row r="21" spans="1:4" ht="15" customHeight="1" x14ac:dyDescent="0.25">
      <c r="A21" s="4" t="s">
        <v>198</v>
      </c>
      <c r="B21" s="22">
        <f>B20-B13</f>
        <v>0</v>
      </c>
      <c r="C21" s="22">
        <f>C20-C13</f>
        <v>0</v>
      </c>
      <c r="D21" s="22">
        <f>D20-D13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40" customWidth="1"/>
    <col min="2" max="4" width="12" customWidth="1"/>
    <col min="5" max="5" width="56" customWidth="1"/>
  </cols>
  <sheetData>
    <row r="1" spans="1:5" ht="15.75" customHeight="1" x14ac:dyDescent="0.25">
      <c r="A1" s="1" t="s">
        <v>199</v>
      </c>
    </row>
    <row r="3" spans="1:5" ht="15" customHeight="1" x14ac:dyDescent="0.25">
      <c r="A3" s="3" t="s">
        <v>200</v>
      </c>
      <c r="B3" s="3" t="s">
        <v>3</v>
      </c>
      <c r="C3" s="3" t="s">
        <v>4</v>
      </c>
      <c r="D3" s="3" t="s">
        <v>5</v>
      </c>
      <c r="E3" s="3" t="s">
        <v>201</v>
      </c>
    </row>
    <row r="4" spans="1:5" ht="15" customHeight="1" x14ac:dyDescent="0.25">
      <c r="A4" s="3" t="s">
        <v>202</v>
      </c>
      <c r="B4" s="9"/>
      <c r="C4" s="9"/>
      <c r="D4" s="9"/>
      <c r="E4" s="9"/>
    </row>
    <row r="5" spans="1:5" ht="15" customHeight="1" x14ac:dyDescent="0.25">
      <c r="A5" s="4" t="s">
        <v>203</v>
      </c>
      <c r="B5" s="31">
        <f>DRE!B28/DRE!B19</f>
        <v>0.64496035566967413</v>
      </c>
      <c r="C5" s="31">
        <f>DRE!D28/DRE!D19</f>
        <v>0.71679175864606326</v>
      </c>
      <c r="D5" s="31">
        <f>DRE!G28/DRE!G19</f>
        <v>0.73753837308948111</v>
      </c>
      <c r="E5" s="7" t="s">
        <v>204</v>
      </c>
    </row>
    <row r="6" spans="1:5" ht="15" customHeight="1" x14ac:dyDescent="0.25">
      <c r="A6" s="4" t="s">
        <v>205</v>
      </c>
      <c r="B6" s="31">
        <f>-DRE!B27/DRE!B19</f>
        <v>0.35503964433032581</v>
      </c>
      <c r="C6" s="31">
        <f>-DRE!D27/DRE!D19</f>
        <v>0.28320824135393674</v>
      </c>
      <c r="D6" s="31">
        <f>-DRE!G27/DRE!G19</f>
        <v>0.26246162691051883</v>
      </c>
      <c r="E6" s="7" t="s">
        <v>206</v>
      </c>
    </row>
    <row r="7" spans="1:5" ht="15" customHeight="1" x14ac:dyDescent="0.25">
      <c r="A7" s="4" t="s">
        <v>207</v>
      </c>
      <c r="B7" s="31">
        <f>DRE!B36/DRE!B19</f>
        <v>0.47853737978911831</v>
      </c>
      <c r="C7" s="31">
        <f>DRE!D36/DRE!D19</f>
        <v>0.58434142752023543</v>
      </c>
      <c r="D7" s="31">
        <f>DRE!G36/DRE!G19</f>
        <v>0.61685975245967428</v>
      </c>
      <c r="E7" s="7" t="s">
        <v>208</v>
      </c>
    </row>
    <row r="8" spans="1:5" ht="15" customHeight="1" x14ac:dyDescent="0.25">
      <c r="A8" s="4" t="s">
        <v>209</v>
      </c>
      <c r="B8" s="31">
        <f>DRE!B38/DRE!B19</f>
        <v>0.47061247617575852</v>
      </c>
      <c r="C8" s="31">
        <f>DRE!D38/DRE!D19</f>
        <v>0.58066225165562912</v>
      </c>
      <c r="D8" s="31">
        <f>DRE!G38/DRE!G19</f>
        <v>0.6141478733443978</v>
      </c>
      <c r="E8" s="7" t="s">
        <v>210</v>
      </c>
    </row>
    <row r="9" spans="1:5" ht="15" customHeight="1" x14ac:dyDescent="0.25">
      <c r="A9" s="4" t="s">
        <v>211</v>
      </c>
      <c r="B9" s="31">
        <f>DRE!B42/DRE!B19</f>
        <v>0.40002060474939477</v>
      </c>
      <c r="C9" s="31">
        <f>DRE!D42/DRE!D19</f>
        <v>0.49356291390728479</v>
      </c>
      <c r="D9" s="31">
        <f>DRE!G42/DRE!G19</f>
        <v>0.5220256923427381</v>
      </c>
      <c r="E9" s="7" t="s">
        <v>212</v>
      </c>
    </row>
    <row r="10" spans="1:5" ht="15" customHeight="1" x14ac:dyDescent="0.25">
      <c r="A10" s="4" t="s">
        <v>213</v>
      </c>
      <c r="B10" s="31">
        <f>DRE!B42/DRE!B17</f>
        <v>0.36001854427445529</v>
      </c>
      <c r="C10" s="31">
        <f>DRE!D42/DRE!D17</f>
        <v>0.44420662251655629</v>
      </c>
      <c r="D10" s="31">
        <f>DRE!G42/DRE!G17</f>
        <v>0.4698231231084643</v>
      </c>
      <c r="E10" s="7" t="s">
        <v>214</v>
      </c>
    </row>
    <row r="11" spans="1:5" ht="15" customHeight="1" x14ac:dyDescent="0.25">
      <c r="A11" s="3" t="s">
        <v>215</v>
      </c>
      <c r="B11" s="9"/>
      <c r="C11" s="9"/>
      <c r="D11" s="9"/>
      <c r="E11" s="9"/>
    </row>
    <row r="12" spans="1:5" ht="15" customHeight="1" x14ac:dyDescent="0.25">
      <c r="A12" s="4" t="s">
        <v>216</v>
      </c>
      <c r="B12" s="31">
        <f>DRE!B42/(Premissas!B46+Premissas!B45)</f>
        <v>3.3650933333333333</v>
      </c>
      <c r="C12" s="31">
        <f>DRE!D42/(Premissas!C46+Premissas!B45+Premissas!C45)</f>
        <v>12.195490909090909</v>
      </c>
      <c r="D12" s="31">
        <f>DRE!G42/(Premissas!D46+Premissas!B45+Premissas!C45+Premissas!D45)</f>
        <v>21.388436666666667</v>
      </c>
      <c r="E12" s="7" t="s">
        <v>217</v>
      </c>
    </row>
    <row r="13" spans="1:5" ht="15" customHeight="1" x14ac:dyDescent="0.25">
      <c r="A13" s="4" t="s">
        <v>218</v>
      </c>
      <c r="B13" s="31">
        <f>DRE!B42/Balanço!B12</f>
        <v>0.80792747341396109</v>
      </c>
      <c r="C13" s="31">
        <f>DRE!D42/Balanço!C12</f>
        <v>0.7630795367498161</v>
      </c>
      <c r="D13" s="31">
        <f>DRE!G42/Balanço!D12</f>
        <v>0.59348775090918848</v>
      </c>
      <c r="E13" s="7" t="s">
        <v>219</v>
      </c>
    </row>
    <row r="14" spans="1:5" ht="15" customHeight="1" x14ac:dyDescent="0.25">
      <c r="A14" s="4" t="s">
        <v>220</v>
      </c>
      <c r="B14" s="32">
        <f>DRE!B19/Balanço!B20</f>
        <v>1.5405559037764371</v>
      </c>
      <c r="C14" s="32">
        <f>DRE!D19/Balanço!C20</f>
        <v>1.2225600196905031</v>
      </c>
      <c r="D14" s="32">
        <f>DRE!G19/Balanço!D20</f>
        <v>0.94333507552597751</v>
      </c>
      <c r="E14" s="7" t="s">
        <v>221</v>
      </c>
    </row>
    <row r="15" spans="1:5" ht="15" customHeight="1" x14ac:dyDescent="0.25">
      <c r="A15" s="4" t="s">
        <v>222</v>
      </c>
      <c r="B15" s="31">
        <f>DRE!B42/Balanço!B20</f>
        <v>0.61625410427890082</v>
      </c>
      <c r="C15" s="31">
        <f>DRE!D42/Balanço!C20</f>
        <v>0.60341028574499223</v>
      </c>
      <c r="D15" s="31">
        <f>DRE!G42/Balanço!D20</f>
        <v>0.49244514591263755</v>
      </c>
      <c r="E15" s="7" t="s">
        <v>223</v>
      </c>
    </row>
    <row r="16" spans="1:5" ht="15" customHeight="1" x14ac:dyDescent="0.25">
      <c r="A16" s="3" t="s">
        <v>224</v>
      </c>
      <c r="B16" s="9"/>
      <c r="C16" s="9"/>
      <c r="D16" s="9"/>
      <c r="E16" s="9"/>
    </row>
    <row r="17" spans="1:5" ht="15" customHeight="1" x14ac:dyDescent="0.25">
      <c r="A17" s="4" t="s">
        <v>225</v>
      </c>
      <c r="B17" s="32">
        <f>Balanço!B18/Balanço!B8</f>
        <v>3.7514458095452761</v>
      </c>
      <c r="C17" s="32">
        <f>Balanço!C18/Balanço!C8</f>
        <v>4.4258660539856374</v>
      </c>
      <c r="D17" s="32">
        <f>Balanço!D18/Balanço!D8</f>
        <v>5.5545464123849859</v>
      </c>
      <c r="E17" s="7" t="s">
        <v>226</v>
      </c>
    </row>
    <row r="18" spans="1:5" ht="15" customHeight="1" x14ac:dyDescent="0.25">
      <c r="A18" s="4" t="s">
        <v>227</v>
      </c>
      <c r="B18" s="32">
        <f>Balanço!B19/Balanço!B8</f>
        <v>4.1122034662376841</v>
      </c>
      <c r="C18" s="32">
        <f>Balanço!C19/Balanço!C8</f>
        <v>4.7504643260050079</v>
      </c>
      <c r="D18" s="32">
        <f>Balanço!D19/Balanço!D8</f>
        <v>5.8623691550492607</v>
      </c>
      <c r="E18" s="7" t="s">
        <v>228</v>
      </c>
    </row>
    <row r="19" spans="1:5" ht="15" customHeight="1" x14ac:dyDescent="0.25">
      <c r="A19" s="4" t="s">
        <v>229</v>
      </c>
      <c r="B19" s="32">
        <f>Balanço!B19/Balanço!B8</f>
        <v>4.1122034662376841</v>
      </c>
      <c r="C19" s="32">
        <f>Balanço!C19/Balanço!C8</f>
        <v>4.7504643260050079</v>
      </c>
      <c r="D19" s="32">
        <f>Balanço!D19/Balanço!D8</f>
        <v>5.8623691550492607</v>
      </c>
      <c r="E19" s="7" t="s">
        <v>230</v>
      </c>
    </row>
    <row r="20" spans="1:5" ht="15" customHeight="1" x14ac:dyDescent="0.25">
      <c r="A20" s="4" t="s">
        <v>231</v>
      </c>
      <c r="B20" s="32">
        <f>Balanço!B19/(Balanço!B8+Balanço!B9)</f>
        <v>4.1122034662376841</v>
      </c>
      <c r="C20" s="32">
        <f>Balanço!C19/(Balanço!C8+Balanço!C9)</f>
        <v>4.7504643260050079</v>
      </c>
      <c r="D20" s="32">
        <f>Balanço!D19/(Balanço!D8+Balanço!D9)</f>
        <v>5.8623691550492607</v>
      </c>
      <c r="E20" s="7" t="s">
        <v>232</v>
      </c>
    </row>
    <row r="21" spans="1:5" ht="15" customHeight="1" x14ac:dyDescent="0.25">
      <c r="A21" s="3" t="s">
        <v>233</v>
      </c>
      <c r="B21" s="9"/>
      <c r="C21" s="9"/>
      <c r="D21" s="9"/>
      <c r="E21" s="9"/>
    </row>
    <row r="22" spans="1:5" ht="15" customHeight="1" x14ac:dyDescent="0.25">
      <c r="A22" s="4" t="s">
        <v>234</v>
      </c>
      <c r="B22" s="31">
        <f>(Balanço!B8+Balanço!B9)/Balanço!B20</f>
        <v>0.2372408111400513</v>
      </c>
      <c r="C22" s="31">
        <f>(Balanço!C8+Balanço!C9)/Balanço!C20</f>
        <v>0.20924326143628882</v>
      </c>
      <c r="D22" s="31">
        <f>(Balanço!D8+Balanço!D9)/Balanço!D20</f>
        <v>0.17025221639664778</v>
      </c>
      <c r="E22" s="7" t="s">
        <v>235</v>
      </c>
    </row>
    <row r="23" spans="1:5" ht="15" customHeight="1" x14ac:dyDescent="0.25">
      <c r="A23" s="4" t="s">
        <v>236</v>
      </c>
      <c r="B23" s="32">
        <f>(Balanço!B8+Balanço!B9)/Balanço!B12</f>
        <v>0.3110297648392033</v>
      </c>
      <c r="C23" s="32">
        <f>(Balanço!C8+Balanço!C9)/Balanço!C12</f>
        <v>0.26461141743331484</v>
      </c>
      <c r="D23" s="32">
        <f>(Balanço!D8+Balanço!D9)/Balanço!D12</f>
        <v>0.20518550306611505</v>
      </c>
      <c r="E23" s="7" t="s">
        <v>237</v>
      </c>
    </row>
    <row r="24" spans="1:5" ht="15" customHeight="1" x14ac:dyDescent="0.25">
      <c r="A24" s="4" t="s">
        <v>238</v>
      </c>
      <c r="B24" s="31">
        <f>Balanço!B17/Balanço!B12</f>
        <v>3.2012087764339815E-2</v>
      </c>
      <c r="C24" s="31">
        <f>Balanço!C17/Balanço!C12</f>
        <v>7.5843186627329333E-3</v>
      </c>
      <c r="D24" s="31">
        <f>Balanço!D17/Balanço!D12</f>
        <v>2.3123388280567353E-3</v>
      </c>
      <c r="E24" s="7" t="s">
        <v>239</v>
      </c>
    </row>
    <row r="25" spans="1:5" ht="15" customHeight="1" x14ac:dyDescent="0.25">
      <c r="A25" s="3" t="s">
        <v>240</v>
      </c>
      <c r="B25" s="9"/>
      <c r="C25" s="9"/>
      <c r="D25" s="9"/>
      <c r="E25" s="9"/>
    </row>
    <row r="26" spans="1:5" ht="15" customHeight="1" x14ac:dyDescent="0.25">
      <c r="A26" s="4" t="s">
        <v>241</v>
      </c>
      <c r="B26" s="22">
        <f>DRE!B17/Premissas!B5/12</f>
        <v>292.09375</v>
      </c>
      <c r="C26" s="22">
        <f>DRE!D17/Premissas!C5/12</f>
        <v>251.66666666666666</v>
      </c>
      <c r="D26" s="22">
        <f>DRE!G17/Premissas!D5/12</f>
        <v>235.47126436781608</v>
      </c>
      <c r="E26" s="7" t="s">
        <v>242</v>
      </c>
    </row>
    <row r="27" spans="1:5" ht="15" customHeight="1" x14ac:dyDescent="0.25">
      <c r="A27" s="4" t="s">
        <v>243</v>
      </c>
      <c r="B27" s="31">
        <f>1-DRE!B5/DRE!B17</f>
        <v>0.65764416390285652</v>
      </c>
      <c r="C27" s="31">
        <f>1-DRE!D5/DRE!D17</f>
        <v>0.60264900662251653</v>
      </c>
      <c r="D27" s="31">
        <f>1-DRE!G5/DRE!G17</f>
        <v>0.57531973054769114</v>
      </c>
      <c r="E27" s="7" t="s">
        <v>244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Premissas</vt:lpstr>
      <vt:lpstr>DRE</vt:lpstr>
      <vt:lpstr>Divisão de Lucros</vt:lpstr>
      <vt:lpstr>Balanço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Leite</cp:lastModifiedBy>
  <cp:revision>0</cp:revision>
  <dcterms:created xsi:type="dcterms:W3CDTF">2026-06-12T09:06:40Z</dcterms:created>
  <dcterms:modified xsi:type="dcterms:W3CDTF">2026-06-12T14:34:42Z</dcterms:modified>
  <dc:language>en-US</dc:language>
</cp:coreProperties>
</file>